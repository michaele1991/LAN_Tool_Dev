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autoCompressPictures="0" defaultThemeVersion="124226"/>
  <mc:AlternateContent xmlns:mc="http://schemas.openxmlformats.org/markup-compatibility/2006">
    <mc:Choice Requires="x15">
      <x15ac:absPath xmlns:x15ac="http://schemas.microsoft.com/office/spreadsheetml/2010/11/ac" url="C:\git_nahum\nd_pae_sw-ccd_lan_nvm_images\Nahum7_cmv_h\"/>
    </mc:Choice>
  </mc:AlternateContent>
  <xr:revisionPtr revIDLastSave="0" documentId="13_ncr:1_{4BB85E00-76E8-4873-97CA-BD7DCAE558B4}" xr6:coauthVersionLast="36" xr6:coauthVersionMax="36" xr10:uidLastSave="{00000000-0000-0000-0000-000000000000}"/>
  <bookViews>
    <workbookView xWindow="0" yWindow="60" windowWidth="18840" windowHeight="7488"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calcOnSave="0"/>
  <extLs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<sst xmlns="http://schemas.openxmlformats.org/spreadsheetml/2006/main" count="7377" uniqueCount="1407">
  <si>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</si>
  <si>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</si>
  <si>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</si>
  <si>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</si>
  <si>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</si>
  <si>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</si>
  <si>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</si>
  <si>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</si>
  <si>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</si>
  <si>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</si>
  <si>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</si>
  <si>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</si>
  <si>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</si>
  <si>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</si>
  <si>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</si>
  <si>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</si>
  <si>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</si>
  <si>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</si>
  <si>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</si>
  <si>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</si>
  <si>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</si>
  <si>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</si>
  <si>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</si>
  <si>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</si>
  <si>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</si>
  <si>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</si>
  <si>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</si>
  <si>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</si>
  <si>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</si>
  <si>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</si>
  <si>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</si>
  <si>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</si>
  <si>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</si>
  <si>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</si>
  <si>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</si>
  <si>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</si>
  <si>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</si>
  <si>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</si>
  <si>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</si>
  <si>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</si>
  <si>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</si>
  <si>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</si>
  <si>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</si>
  <si>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</si>
  <si>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</si>
  <si>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</si>
  <si>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</si>
  <si>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</si>
  <si>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</si>
  <si>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</si>
  <si>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</si>
  <si>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</si>
  <si>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</si>
  <si>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</si>
  <si>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</si>
  <si>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</si>
  <si>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</si>
  <si>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</si>
  <si>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</si>
  <si>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</si>
  <si>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</si>
  <si>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</si>
  <si>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</si>
  <si>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</si>
  <si>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</si>
  <si>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</si>
  <si>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</si>
  <si>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</si>
  <si>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</si>
  <si>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</si>
  <si>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</si>
  <si>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</si>
  <si>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</si>
  <si>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</si>
  <si>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</si>
  <si>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</si>
  <si>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</si>
  <si>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</si>
  <si>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</si>
  <si>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</si>
  <si>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</si>
  <si>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</si>
  <si>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</si>
  <si>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</si>
  <si>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</si>
  <si>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</si>
  <si>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</si>
  <si>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</si>
  <si>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</si>
  <si>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</si>
  <si>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</si>
  <si>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</si>
  <si>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</si>
  <si>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</si>
  <si>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</si>
  <si>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</si>
  <si>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</si>
  <si>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</si>
  <si>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</si>
  <si>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</si>
  <si>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</si>
  <si>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</si>
  <si>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</si>
  <si>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</si>
  <si>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</si>
  <si>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</si>
  <si>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</si>
  <si>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</si>
  <si>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</si>
  <si>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</si>
  <si>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</si>
  <si>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</si>
  <si>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</si>
  <si>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</si>
  <si>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</si>
  <si>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</si>
  <si>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</si>
  <si>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</si>
  <si>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</si>
  <si>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</si>
  <si>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</si>
  <si>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</si>
  <si>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</si>
  <si>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</si>
  <si>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</si>
  <si>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</si>
  <si>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</si>
  <si>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</si>
  <si>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</si>
  <si>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</si>
  <si>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</si>
  <si>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</si>
  <si>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</si>
  <si>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</si>
  <si>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</si>
  <si>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</si>
  <si>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</si>
  <si>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</si>
  <si>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</si>
  <si>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</si>
  <si>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</si>
  <si>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</si>
  <si>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</si>
  <si>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</si>
  <si>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</si>
  <si>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</si>
  <si>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</si>
  <si>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</si>
  <si>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</si>
  <si>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</si>
  <si>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</si>
  <si>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</si>
  <si>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</si>
  <si>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</si>
  <si>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</si>
  <si>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</si>
  <si>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</si>
  <si>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</si>
  <si>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</si>
  <si>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</si>
  <si>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</si>
  <si>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</si>
  <si>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</si>
  <si>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</si>
  <si>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</si>
  <si>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</si>
  <si>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</si>
  <si>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</si>
  <si>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</si>
  <si>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</si>
  <si>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</si>
  <si>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</si>
  <si>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</si>
  <si>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</si>
  <si>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</si>
  <si>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</si>
  <si>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</si>
  <si>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</si>
  <si>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</si>
  <si>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</si>
  <si>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</si>
  <si>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</si>
  <si>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</si>
  <si>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</si>
  <si>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</si>
  <si>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</si>
  <si>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</si>
  <si>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</si>
  <si>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</si>
  <si>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</si>
  <si>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</si>
  <si>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</si>
  <si>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</si>
  <si>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</si>
  <si>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</si>
  <si>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</si>
  <si>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</si>
  <si>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</si>
  <si>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</si>
  <si>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</si>
  <si>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</si>
  <si>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</si>
  <si>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</si>
  <si>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</si>
  <si>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</si>
  <si>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</si>
  <si>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</si>
  <si>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</si>
  <si>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</si>
  <si>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</si>
  <si>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</si>
  <si>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</si>
  <si>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</si>
  <si>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</si>
  <si>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</si>
  <si>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</si>
  <si>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</si>
  <si>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</si>
  <si>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</si>
  <si>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</si>
  <si>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</si>
  <si>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</si>
  <si>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</si>
  <si>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</si>
  <si>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</si>
  <si>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</si>
  <si>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</si>
  <si>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</si>
  <si>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</si>
  <si>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</si>
  <si>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</si>
  <si>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</si>
  <si>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</si>
  <si>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</si>
  <si>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</si>
  <si>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</si>
  <si>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</si>
  <si>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</si>
  <si>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</si>
  <si>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</si>
  <si>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</si>
  <si>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</si>
  <si>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</si>
  <si>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</si>
  <si>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</si>
  <si>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</si>
  <si>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</si>
  <si>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</si>
  <si>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</si>
  <si>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</si>
  <si>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</si>
  <si>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</si>
  <si>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</si>
  <si>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</si>
  <si>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</si>
  <si>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</si>
  <si>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</si>
  <si>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</si>
  <si>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</si>
  <si>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</si>
  <si>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</si>
  <si>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</si>
  <si>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</si>
  <si>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</si>
  <si>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</si>
  <si>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</si>
  <si>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</si>
  <si>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</si>
  <si>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</si>
  <si>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</si>
  <si>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</si>
  <si>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</si>
  <si>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</si>
  <si>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</si>
  <si>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</si>
  <si>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</si>
  <si>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</si>
  <si>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</si>
  <si>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</si>
  <si>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</si>
  <si>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</si>
  <si>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</si>
  <si>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</si>
  <si>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</si>
  <si>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</si>
  <si>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</si>
  <si>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</si>
  <si>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</si>
  <si>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</si>
  <si>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</si>
  <si>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</si>
  <si>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</si>
  <si>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</si>
  <si>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</si>
  <si>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</si>
  <si>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</si>
  <si>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</si>
  <si>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</si>
  <si>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</si>
  <si>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</si>
  <si>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</si>
  <si>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</si>
  <si>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</si>
  <si>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</si>
  <si>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</si>
  <si>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</si>
  <si>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</si>
  <si>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</si>
  <si>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</si>
  <si>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</si>
  <si>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</si>
  <si>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</si>
  <si>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</si>
  <si>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</si>
  <si>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</si>
  <si>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</si>
  <si>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</si>
  <si>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</si>
  <si>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</si>
  <si>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</si>
  <si>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</si>
  <si>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</si>
  <si>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</si>
  <si>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</si>
  <si>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</si>
  <si>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</si>
  <si>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</si>
  <si>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</si>
  <si>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</si>
  <si>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</si>
  <si>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</si>
  <si>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</si>
  <si>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</si>
  <si>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</si>
  <si>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</si>
  <si>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</si>
  <si>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</si>
  <si>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</si>
  <si>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</si>
  <si>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</si>
  <si>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</si>
  <si>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</si>
  <si>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</si>
  <si>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</si>
  <si>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</si>
  <si>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</si>
  <si>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</si>
  <si>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</si>
  <si>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</si>
  <si>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</si>
  <si>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</si>
  <si>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</si>
  <si>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</si>
  <si>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</si>
  <si>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</si>
  <si>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</si>
  <si>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</si>
  <si>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</si>
  <si>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</si>
  <si>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</si>
  <si>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</si>
  <si>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</si>
  <si>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</si>
  <si>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</si>
  <si>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</si>
  <si>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</si>
  <si>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</si>
  <si>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</si>
  <si>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</si>
  <si>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</si>
  <si>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</si>
  <si>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</si>
  <si>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</si>
  <si>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</si>
  <si>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</si>
  <si>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</si>
  <si>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</si>
  <si>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</si>
  <si>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</si>
  <si>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</si>
  <si>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</si>
  <si>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</si>
  <si>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</si>
  <si>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</si>
  <si>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</si>
  <si>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</si>
  <si>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</si>
  <si>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</si>
  <si>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</si>
  <si>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</si>
  <si>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</si>
  <si>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</si>
  <si>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</si>
  <si>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</si>
  <si>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</si>
  <si>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</si>
  <si>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</si>
  <si>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</si>
  <si>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</si>
  <si>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</si>
  <si>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</si>
  <si>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</si>
  <si>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</si>
  <si>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</si>
  <si>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</si>
  <si>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</si>
  <si>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</si>
  <si>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</si>
  <si>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</si>
  <si>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</si>
  <si>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</si>
  <si>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</si>
  <si>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</si>
  <si>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</si>
  <si>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</si>
  <si>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</si>
  <si>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</si>
  <si>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</si>
  <si>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</si>
  <si>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</si>
  <si>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</si>
  <si>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</si>
  <si>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</si>
  <si>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</si>
  <si>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</si>
  <si>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</si>
  <si>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</si>
  <si>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</si>
  <si>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</si>
  <si>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</si>
  <si>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</si>
  <si>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</si>
  <si>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</si>
  <si>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</si>
  <si>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</si>
  <si>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</si>
  <si>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</si>
  <si>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</si>
  <si>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</si>
  <si>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</si>
  <si>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</si>
  <si>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</si>
  <si>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</si>
  <si>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</si>
  <si>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</si>
  <si>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</si>
  <si>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</si>
  <si>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</si>
  <si>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</si>
  <si>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</si>
  <si>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</si>
  <si>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</si>
  <si>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</si>
  <si>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</si>
  <si>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</si>
  <si>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</si>
  <si>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</si>
  <si>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</si>
  <si>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</si>
  <si>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</si>
  <si>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</si>
  <si>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</si>
  <si>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</si>
  <si>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</si>
  <si>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</si>
  <si>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</si>
  <si>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</si>
  <si>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</si>
  <si>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</si>
  <si>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</si>
  <si>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</si>
  <si>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</si>
  <si>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</si>
  <si>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</si>
  <si>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</si>
  <si>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</si>
  <si>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</si>
  <si>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</si>
  <si>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</si>
  <si>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</si>
  <si>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</si>
  <si>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</si>
  <si>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</si>
  <si>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</si>
  <si>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</si>
  <si>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</si>
  <si>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</si>
  <si>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</si>
  <si>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</si>
  <si>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</si>
  <si>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</si>
  <si>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</si>
  <si>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</si>
  <si>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</si>
  <si>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</si>
  <si>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</si>
  <si>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</si>
  <si>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</si>
  <si>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</si>
  <si>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</si>
  <si>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</si>
  <si>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</si>
  <si>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</si>
  <si>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</si>
  <si>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</si>
  <si>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</si>
  <si>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</si>
  <si>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</si>
  <si>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</si>
  <si>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</si>
  <si>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</si>
  <si>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</si>
  <si>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</si>
  <si>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</si>
  <si>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</si>
  <si>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</si>
  <si>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</si>
  <si>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</si>
  <si>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</si>
  <si>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</si>
  <si>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</si>
  <si>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</si>
  <si>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</si>
  <si>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</si>
  <si>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</si>
  <si>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</si>
  <si>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</si>
  <si>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</si>
  <si>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</si>
  <si>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</si>
  <si>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</si>
  <si>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</si>
  <si>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</si>
  <si>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</si>
  <si>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</si>
  <si>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</si>
  <si>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</si>
  <si>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</si>
  <si>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</si>
  <si>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</si>
  <si>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</si>
  <si>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</si>
  <si>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</si>
  <si>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</si>
  <si>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</si>
  <si>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</si>
  <si>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</si>
  <si>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</si>
  <si>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</si>
  <si>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</si>
  <si>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</si>
  <si>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</si>
  <si>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</si>
  <si>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</si>
  <si>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</si>
  <si>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</si>
  <si>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</si>
  <si>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</si>
  <si>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</si>
  <si>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</si>
  <si>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</si>
  <si>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</si>
  <si>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</si>
  <si>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</si>
  <si>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</si>
  <si>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</si>
  <si>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</si>
  <si>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</si>
  <si>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</si>
  <si>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</si>
  <si>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</si>
  <si>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</si>
  <si>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</si>
  <si>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</si>
  <si>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</si>
  <si>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</si>
  <si>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</si>
  <si>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</si>
  <si>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</si>
  <si>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</si>
  <si>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</si>
  <si>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</si>
  <si>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</si>
  <si>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</si>
  <si>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</si>
  <si>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</si>
  <si>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</si>
  <si>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</si>
  <si>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</si>
  <si>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</si>
  <si>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</si>
  <si>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</si>
  <si>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</si>
  <si>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</si>
  <si>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</si>
  <si>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</si>
  <si>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</si>
  <si>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</si>
  <si>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</si>
  <si>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</si>
  <si>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</si>
  <si>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</si>
  <si>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</si>
  <si>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</si>
  <si>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</si>
  <si>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</si>
  <si>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</si>
  <si>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</si>
  <si>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</si>
  <si>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</si>
  <si>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</si>
  <si>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</si>
  <si>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</si>
  <si>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</si>
  <si>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</si>
  <si>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</si>
  <si>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</si>
  <si>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</si>
  <si>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</si>
  <si>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</si>
  <si>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</si>
  <si>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</si>
  <si>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</si>
  <si>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</si>
  <si>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</si>
  <si>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</si>
  <si>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</si>
  <si>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</si>
  <si>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</si>
  <si>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</si>
  <si>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</si>
  <si>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</si>
  <si>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</si>
  <si>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</si>
  <si>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</si>
  <si>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</si>
  <si>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</si>
  <si>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</si>
  <si>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</si>
  <si>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</si>
  <si>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</si>
  <si>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</si>
  <si>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</si>
  <si>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</si>
  <si>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</si>
  <si>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</si>
  <si>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</si>
  <si>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</si>
  <si>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</si>
  <si>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</si>
  <si>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</si>
  <si>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</si>
  <si>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</si>
  <si>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</si>
  <si>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</si>
  <si>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</si>
  <si>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</si>
  <si>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</si>
  <si>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</si>
  <si>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</si>
  <si>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</si>
  <si>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</si>
  <si>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</si>
  <si>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</si>
  <si>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</si>
  <si>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</si>
  <si>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</si>
  <si>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</si>
  <si>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</si>
  <si>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</si>
  <si>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</si>
  <si>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</si>
  <si>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</si>
  <si>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</si>
  <si>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</si>
  <si>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</si>
  <si>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</si>
  <si>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</si>
  <si>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</si>
  <si>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</si>
  <si>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</si>
  <si>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</si>
  <si>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</si>
  <si>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</si>
  <si>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</si>
  <si>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</si>
  <si>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</si>
  <si>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</si>
  <si>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</si>
  <si>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</si>
  <si>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</si>
  <si>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</si>
  <si>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</si>
  <si>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</si>
  <si>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</si>
  <si>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</si>
  <si>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</si>
  <si>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</si>
  <si>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</si>
  <si>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</si>
  <si>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</si>
  <si>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</si>
  <si>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</si>
  <si>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</si>
  <si>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</si>
  <si>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</si>
  <si>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</si>
  <si>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</si>
  <si>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</si>
  <si>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</si>
  <si>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</si>
  <si>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</si>
  <si>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</si>
  <si>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</si>
  <si>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</si>
  <si>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</si>
  <si>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</si>
  <si>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</si>
  <si>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</si>
  <si>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</si>
  <si>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</si>
  <si>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</si>
  <si>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</si>
  <si>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</si>
  <si>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</si>
  <si>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</si>
  <si>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</si>
  <si>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</si>
  <si>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</si>
  <si>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</si>
  <si>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</si>
  <si>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</si>
  <si>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</si>
  <si>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</si>
  <si>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</si>
  <si>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</si>
  <si>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</si>
  <si>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</si>
  <si>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</si>
  <si>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</si>
  <si>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</si>
  <si>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</si>
  <si>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</si>
  <si>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</si>
  <si>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</si>
  <si>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</si>
  <si>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</si>
  <si>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</si>
  <si>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</si>
  <si>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</si>
  <si>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</si>
  <si>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</si>
  <si>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</si>
  <si>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</si>
  <si>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</si>
  <si>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</si>
  <si>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</si>
  <si>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</si>
  <si>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</si>
  <si>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</si>
  <si>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</si>
  <si>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</si>
  <si>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</si>
  <si>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</si>
  <si>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</si>
  <si>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</si>
  <si>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</si>
  <si>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</si>
  <si>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</si>
  <si>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</si>
  <si>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</si>
  <si>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</si>
  <si>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</si>
  <si>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</si>
  <si>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</si>
  <si>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</si>
  <si>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</si>
  <si>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</si>
  <si>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</si>
  <si>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</si>
  <si>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</si>
  <si>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</si>
  <si>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</si>
  <si>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</si>
  <si>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</si>
  <si>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</si>
  <si>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</si>
  <si>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</si>
  <si>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</si>
  <si>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</si>
  <si>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</si>
  <si>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</si>
  <si>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</si>
  <si>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</si>
  <si>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</si>
  <si>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</si>
  <si>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</si>
  <si>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</si>
  <si>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</si>
  <si>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</si>
  <si>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</si>
  <si>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</si>
  <si>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</si>
  <si>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</si>
  <si>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</si>
  <si>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</si>
  <si>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</si>
  <si>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</si>
  <si>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</si>
  <si>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</si>
  <si>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</si>
  <si>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</si>
  <si>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</si>
  <si>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</si>
  <si>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</si>
  <si>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</si>
  <si>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</si>
  <si>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</si>
  <si>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</si>
  <si>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</si>
  <si>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</si>
  <si>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</si>
  <si>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</si>
  <si>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</si>
  <si>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</si>
  <si>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</si>
  <si>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</si>
  <si>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</si>
  <si>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</si>
  <si>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</si>
  <si>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</si>
  <si>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</si>
  <si>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</si>
  <si>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</si>
  <si>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</si>
  <si>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</si>
  <si>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</si>
  <si>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</si>
  <si>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</si>
  <si>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</si>
  <si>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</si>
  <si>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</si>
  <si>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</si>
  <si>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</si>
  <si>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</si>
  <si>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</si>
  <si>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</si>
  <si>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</si>
  <si>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</si>
  <si>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</si>
  <si>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</si>
  <si>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</si>
  <si>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</si>
  <si>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</si>
  <si>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</si>
  <si>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</si>
  <si>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</si>
  <si>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</si>
  <si>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</si>
  <si>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</si>
  <si>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</si>
  <si>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</si>
  <si>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</si>
  <si>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</si>
  <si>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</si>
  <si>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</si>
  <si>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</si>
  <si>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</si>
  <si>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</si>
  <si>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</si>
  <si>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</si>
  <si>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</si>
  <si>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</si>
  <si>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</si>
  <si>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</si>
  <si>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</si>
  <si>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</si>
  <si>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</si>
  <si>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</si>
  <si>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</si>
  <si>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</si>
  <si>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</si>
  <si>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</si>
  <si>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</si>
  <si>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</si>
  <si>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</si>
  <si>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</si>
  <si>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</si>
  <si>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</si>
  <si>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</si>
  <si>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</si>
  <si>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</si>
  <si>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</si>
  <si>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</si>
  <si>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</si>
  <si>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</si>
  <si>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</si>
  <si>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</si>
  <si>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</si>
  <si>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</si>
  <si>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</si>
  <si>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</si>
  <si>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</si>
  <si>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</si>
  <si>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</si>
  <si>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</si>
  <si>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</si>
  <si>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</si>
  <si>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</si>
  <si>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</si>
  <si>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</si>
  <si>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</si>
  <si>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</si>
  <si>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</si>
  <si>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</si>
  <si>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</si>
  <si>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</si>
  <si>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</si>
  <si>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</si>
  <si>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</si>
  <si>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</si>
  <si>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</si>
  <si>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</si>
  <si>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</si>
  <si>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</si>
  <si>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</si>
  <si>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</si>
  <si>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</si>
  <si>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</si>
  <si>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</si>
  <si>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</si>
  <si>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</si>
  <si>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</si>
  <si>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</si>
  <si>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</si>
  <si>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</si>
  <si>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</si>
  <si>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</si>
  <si>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</si>
  <si>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</si>
  <si>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</si>
  <si>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</si>
  <si>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</si>
  <si>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</si>
  <si>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</si>
  <si>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</si>
  <si>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</si>
  <si>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</si>
  <si>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</si>
  <si>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</si>
  <si>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</si>
  <si>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</si>
  <si>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</si>
  <si>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</si>
  <si>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</si>
  <si>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</si>
  <si>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</si>
  <si>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</si>
  <si>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</si>
  <si>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</si>
  <si>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</si>
  <si>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</si>
  <si>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</si>
  <si>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</si>
  <si>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</si>
  <si>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</si>
  <si>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</si>
  <si>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</si>
  <si>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</si>
  <si>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</si>
  <si>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</si>
  <si>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</si>
  <si>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</si>
  <si>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</si>
  <si>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</si>
  <si>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</si>
  <si>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</si>
  <si>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</si>
  <si>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</si>
  <si>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</si>
  <si>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</si>
  <si>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</si>
  <si>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</si>
  <si>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</si>
  <si>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</si>
  <si>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</si>
  <si>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</si>
  <si>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</si>
  <si>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</si>
  <si>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</si>
  <si>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</si>
  <si>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</si>
  <si>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</si>
  <si>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</si>
  <si>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</si>
  <si>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</si>
  <si>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</si>
  <si>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</si>
  <si>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</si>
  <si>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</si>
  <si>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</si>
  <si>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</si>
  <si>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</si>
  <si>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</si>
  <si>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</si>
  <si>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</si>
  <si>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</si>
  <si>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</si>
  <si>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</si>
  <si>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</si>
  <si>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</si>
  <si>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</si>
  <si>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</si>
  <si>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</si>
  <si>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</si>
  <si>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</si>
  <si>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</si>
  <si>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</si>
  <si>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</si>
  <si>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</si>
  <si>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</si>
  <si>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</si>
  <si>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</si>
  <si>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</si>
  <si>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</si>
  <si>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</si>
  <si>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</si>
  <si>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</si>
  <si>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</si>
  <si>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</si>
  <si>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</si>
  <si>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</si>
  <si>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</si>
  <si>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</si>
  <si>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</si>
  <si>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</si>
  <si>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</si>
  <si>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</si>
  <si>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</si>
  <si>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</si>
  <si>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</si>
  <si>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</si>
  <si>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</si>
  <si>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</si>
  <si>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</si>
  <si>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</si>
  <si>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</si>
  <si>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</si>
  <si>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</si>
  <si>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</si>
  <si>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</si>
  <si>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</si>
  <si>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</si>
  <si>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</si>
  <si>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</si>
  <si>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</si>
  <si>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</si>
  <si>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</si>
  <si>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</si>
  <si>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</si>
  <si>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</si>
  <si>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</si>
  <si>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</si>
  <si>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</si>
  <si>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</si>
  <si>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</si>
  <si>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</si>
  <si>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</si>
  <si>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</si>
  <si>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</si>
  <si>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</si>
  <si>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</si>
  <si>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</si>
  <si>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</si>
  <si>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</si>
  <si>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</si>
  <si>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</si>
  <si>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</si>
  <si>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</si>
  <si>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</si>
  <si>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</si>
  <si>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</si>
  <si>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</si>
  <si>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</si>
  <si>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</si>
  <si>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</si>
  <si>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</si>
  <si>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</si>
  <si>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</si>
  <si>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</si>
  <si>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</si>
  <si>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</si>
  <si>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</si>
  <si>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</si>
  <si>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</si>
  <si>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</si>
  <si>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</si>
  <si>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</si>
  <si>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</si>
  <si>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</si>
  <si>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</si>
  <si>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</si>
  <si>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</si>
  <si>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</si>
  <si>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</si>
  <si>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</si>
  <si>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</si>
  <si>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</si>
  <si>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</si>
  <si>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</si>
  <si>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</si>
  <si>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</si>
  <si>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</si>
  <si>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</si>
  <si>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</si>
  <si>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</si>
  <si>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</si>
  <si>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</si>
  <si>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</si>
  <si>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</si>
  <si>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</si>
  <si>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</si>
  <si>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</si>
  <si>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</si>
  <si>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</si>
  <si>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</si>
  <si>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</si>
  <si>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</si>
  <si>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</si>
  <si>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</si>
  <si>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</si>
  <si>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</si>
  <si>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</si>
  <si>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</si>
  <si>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</si>
  <si>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</si>
  <si>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</si>
  <si>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</si>
  <si>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</si>
  <si>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</si>
  <si>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</si>
  <si>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</si>
  <si>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</si>
  <si>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</si>
  <si>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</si>
  <si>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</si>
  <si>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</si>
  <si>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</si>
  <si>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</si>
  <si>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</si>
  <si>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</si>
  <si>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</si>
  <si>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</si>
  <si>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</si>
  <si>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</si>
  <si>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</si>
  <si>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</si>
  <si>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</si>
  <si>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</si>
  <si>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</si>
  <si>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</si>
  <si>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</si>
  <si>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</si>
  <si>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</si>
  <si>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</si>
  <si>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</si>
  <si>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</si>
  <si>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</si>
  <si>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</si>
  <si>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</si>
  <si>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</si>
  <si>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</si>
  <si>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</si>
  <si>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</si>
  <si>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</si>
  <si>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</si>
  <si>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</si>
  <si>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</si>
  <si>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</si>
  <si>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</si>
  <si>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</si>
  <si>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</si>
  <si>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</si>
  <si>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</si>
  <si>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</si>
  <si>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</si>
  <si>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</si>
  <si>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</si>
  <si>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</si>
  <si>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</si>
  <si>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</si>
  <si>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</si>
  <si>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</si>
  <si>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</si>
  <si>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</si>
  <si>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</si>
  <si>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</si>
  <si>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</si>
  <si>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</si>
  <si>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</si>
  <si>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</si>
  <si>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</si>
  <si>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</si>
  <si>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</si>
  <si>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</si>
  <si>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</si>
  <si>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</si>
  <si>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</si>
  <si>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</si>
  <si>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</si>
  <si>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</si>
  <si>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</si>
  <si>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</si>
  <si>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</si>
  <si>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</si>
  <si>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</si>
  <si>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</si>
  <si>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</si>
  <si>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</si>
  <si>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</si>
  <si>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</si>
  <si>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</si>
  <si>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</si>
  <si>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</si>
  <si>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</si>
  <si>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</si>
  <si>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</si>
  <si>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</si>
  <si>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</si>
  <si>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</si>
  <si>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</si>
  <si>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</si>
  <si>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</si>
  <si>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</si>
  <si>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</si>
  <si>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</si>
  <si>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</si>
  <si>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</si>
  <si>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</si>
  <si>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</si>
  <si>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</si>
  <si>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</si>
  <si>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</si>
  <si>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</si>
  <si>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</si>
  <si>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</si>
  <si>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</si>
  <si>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</si>
  <si>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</si>
  <si>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</si>
  <si>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</si>
  <si>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</si>
  <si>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</si>
  <si>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</si>
  <si>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</si>
  <si>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</si>
  <si>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</si>
  <si>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</si>
  <si>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</si>
  <si>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</si>
  <si>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</si>
  <si>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</si>
  <si>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</si>
  <si>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</si>
  <si>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</si>
  <si>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</si>
  <si>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</si>
  <si>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</si>
  <si>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</si>
  <si>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</si>
  <si>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</si>
  <si>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</si>
  <si>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</si>
  <si>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</si>
  <si>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</si>
  <si>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</si>
  <si>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</si>
  <si>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</si>
  <si>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</si>
  <si>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</si>
  <si>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</si>
  <si>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</si>
  <si>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</si>
  <si>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</si>
  <si>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</si>
  <si>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</si>
  <si>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</si>
  <si>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</si>
  <si>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</si>
  <si>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</si>
  <si>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</si>
  <si>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</si>
  <si>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</si>
  <si>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</si>
  <si>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</si>
  <si>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</si>
  <si>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</si>
  <si>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</si>
  <si>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</si>
  <si>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</si>
  <si>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</si>
  <si>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</si>
  <si>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</si>
  <si>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</si>
  <si>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</si>
  <si>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</si>
  <si>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</si>
  <si>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</si>
  <si>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</si>
  <si>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</si>
  <si>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</si>
  <si>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</si>
  <si>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</si>
  <si>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</si>
  <si>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</si>
  <si>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</si>
  <si>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</si>
  <si>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Values read</t>
  </si>
  <si>
    <t>0xBAAD</t>
  </si>
  <si>
    <t>0x800</t>
  </si>
  <si>
    <t>0x000</t>
  </si>
  <si>
    <t>0x008</t>
  </si>
  <si>
    <t>0x200</t>
  </si>
  <si>
    <t>0x001</t>
  </si>
  <si>
    <t>Project name</t>
  </si>
  <si>
    <t>image file name</t>
  </si>
  <si>
    <t>Nahum7</t>
  </si>
  <si>
    <t>Silicon</t>
  </si>
  <si>
    <t>step</t>
  </si>
  <si>
    <t>A0</t>
  </si>
  <si>
    <t>user name</t>
  </si>
  <si>
    <t>_x000D_
; -yheffes:_x000D_
;     First Nahum7 release</t>
  </si>
  <si>
    <t>image version</t>
  </si>
  <si>
    <t>device ID</t>
  </si>
  <si>
    <t>sku device ID</t>
  </si>
  <si>
    <t>release notes</t>
  </si>
  <si>
    <t>lm</t>
  </si>
  <si>
    <t>lan/non/lan</t>
  </si>
  <si>
    <t>V</t>
  </si>
  <si>
    <t>0x0001</t>
  </si>
  <si>
    <t>set to 1 due to PO feedback</t>
  </si>
  <si>
    <t>0x1570</t>
  </si>
  <si>
    <t>Chenged relative to P.O value for ack on indirect access to memory when we are in d3</t>
  </si>
  <si>
    <t>changed in version</t>
  </si>
  <si>
    <t>0xbaad</t>
  </si>
  <si>
    <t>0x156F</t>
  </si>
  <si>
    <t>0x02C</t>
  </si>
  <si>
    <t>fextnvm11_LANPHYPC_on_force_power_gate_POK</t>
  </si>
  <si>
    <t>fextnvm11_dis_sms_clkreq_on_tx_fix_A0ECO1</t>
  </si>
  <si>
    <t>fextnvm11_dis_direct_fw_clkack_in_cdc</t>
  </si>
  <si>
    <t>fextnvm11_dont_wait2force_POK</t>
  </si>
  <si>
    <t>fextnvm11_rx_burst_cnt_non_write_pkt</t>
  </si>
  <si>
    <t>fextnvm11_prim_clkreq_min_deassertion_fix_A0ECO1</t>
  </si>
  <si>
    <t>fextnvm11_select_old_prim_clkreq</t>
  </si>
  <si>
    <t>fextnvm11_always_restore_apm_from_pmc</t>
  </si>
  <si>
    <t>fextnvm11_sw_disable_pb_read</t>
  </si>
  <si>
    <t>fextnvm11_disable_pb_read_on_master_disable_done</t>
  </si>
  <si>
    <t>fextnvm11_disable_pb_read_on_non_doa</t>
  </si>
  <si>
    <t>fextnvm11_dont_write_on_read_disable</t>
  </si>
  <si>
    <t>fextnvm11_dis_fix_for_min_assertion</t>
  </si>
  <si>
    <r>
      <t>Preventing force pok when mdio/gbe not idle by assert lan phy pc</t>
    </r>
    <r>
      <rPr>
        <b/>
        <sz val="8"/>
        <color rgb="FF0860A8"/>
        <rFont val="Verdana"/>
        <family val="2"/>
      </rPr>
      <t> </t>
    </r>
  </si>
  <si>
    <t xml:space="preserve">Validation need to prove it is nedded </t>
  </si>
  <si>
    <r>
      <t>We might have a lost out of idle on tx in fsm to tx out so sb clock will not be requested that dix that</t>
    </r>
    <r>
      <rPr>
        <b/>
        <sz val="8"/>
        <color rgb="FF0860A8"/>
        <rFont val="Verdana"/>
        <family val="2"/>
      </rPr>
      <t> </t>
    </r>
  </si>
  <si>
    <t>disable the direct clkack fw in custom CDC</t>
  </si>
  <si>
    <t>don't wait to force pok while force power gate</t>
  </si>
  <si>
    <r>
      <t>Dusable sync fix on smbus fifo write</t>
    </r>
    <r>
      <rPr>
        <b/>
        <sz val="8"/>
        <color rgb="FF0860A8"/>
        <rFont val="Verdana"/>
        <family val="2"/>
      </rPr>
      <t> </t>
    </r>
  </si>
  <si>
    <t>validation</t>
  </si>
  <si>
    <r>
      <t>Since OLD clock req works for SPTLP let continue to use it on H</t>
    </r>
    <r>
      <rPr>
        <b/>
        <sz val="8"/>
        <color rgb="FF0860A8"/>
        <rFont val="Verdana"/>
        <family val="2"/>
      </rPr>
      <t> </t>
    </r>
  </si>
  <si>
    <r>
      <t>Disable pb read on master enable</t>
    </r>
    <r>
      <rPr>
        <b/>
        <sz val="8"/>
        <color rgb="FF0860A8"/>
        <rFont val="Verdana"/>
        <family val="2"/>
      </rPr>
      <t> </t>
    </r>
  </si>
  <si>
    <r>
      <t>When in SX/D3 read to pb will be gated (read is always on)</t>
    </r>
    <r>
      <rPr>
        <b/>
        <sz val="8"/>
        <color rgb="FF0860A8"/>
        <rFont val="Verdana"/>
        <family val="2"/>
      </rPr>
      <t> </t>
    </r>
  </si>
  <si>
    <r>
      <t>For Power save when cable is disconnected bit should be enable by SW</t>
    </r>
    <r>
      <rPr>
        <b/>
        <sz val="8"/>
        <color rgb="FF0860A8"/>
        <rFont val="Verdana"/>
        <family val="2"/>
      </rPr>
      <t>  </t>
    </r>
  </si>
  <si>
    <r>
      <t>For Power save When read is gated then gate write as well</t>
    </r>
    <r>
      <rPr>
        <b/>
        <sz val="8"/>
        <color rgb="FF0860A8"/>
        <rFont val="Verdana"/>
        <family val="2"/>
      </rPr>
      <t> </t>
    </r>
  </si>
  <si>
    <t>Set by the driver  validated in WPT</t>
  </si>
  <si>
    <t>0x053</t>
  </si>
  <si>
    <t>0x02E</t>
  </si>
  <si>
    <t>0.1</t>
  </si>
  <si>
    <t>0x0A03</t>
  </si>
  <si>
    <t>fextnvm11_iosf2pci_fifo_high_th</t>
  </si>
  <si>
    <t xml:space="preserve">iosf to pci fifo high TH </t>
  </si>
  <si>
    <t>fextnvm11_iosf2pci_fifo_low_th</t>
  </si>
  <si>
    <t xml:space="preserve">iosf to pci fifo low TH </t>
  </si>
  <si>
    <t>fextnvm11_disable_ghost_bp_from_iosf</t>
  </si>
  <si>
    <t>disable pci to iosf fifo bp fix</t>
  </si>
  <si>
    <t>0.2</t>
  </si>
  <si>
    <t>0.3</t>
  </si>
  <si>
    <t>0.4</t>
  </si>
  <si>
    <t>0.5</t>
  </si>
  <si>
    <t>fextnvm11_pcim2pci_to_fleep_fix_en</t>
  </si>
  <si>
    <t>15:11</t>
  </si>
  <si>
    <t>fextnvm11_io_over_cfg_to_fleep_fix_en</t>
  </si>
  <si>
    <t>fextnvm11_hh_fix_dis</t>
  </si>
  <si>
    <t>Enable the fix for pcim,2pci</t>
  </si>
  <si>
    <t>fix for the HH bug</t>
  </si>
  <si>
    <t>0x1F</t>
  </si>
  <si>
    <t>0.6</t>
  </si>
  <si>
    <t>0.1,0.7</t>
  </si>
  <si>
    <t>0.2,0.7</t>
  </si>
  <si>
    <t>V version</t>
  </si>
  <si>
    <t>LM version</t>
  </si>
  <si>
    <t>0.8</t>
  </si>
  <si>
    <t>only in corparate version we will use this for W/A PCIM2PCI acess cross with IO over config system hung</t>
  </si>
  <si>
    <t>0x0042</t>
  </si>
  <si>
    <t>0x0D55</t>
  </si>
  <si>
    <t>0x0D53</t>
  </si>
  <si>
    <t>CMV_H</t>
  </si>
  <si>
    <t>n7_cmv_h</t>
  </si>
  <si>
    <t>0xD304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</si>
</sst>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ont>
    <font>
      <b/>
      <sz val="8"/>
      <color rgb="FF0860A8"/>
      <name val="Verdana"/>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3">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1257300</xdr:colOff>
          <xdr:row>0</xdr:row>
          <xdr:rowOff>144780</xdr:rowOff>
        </xdr:from>
        <xdr:to>
          <xdr:col>5</xdr:col>
          <xdr:colOff>1104900</xdr:colOff>
          <xdr:row>3</xdr:row>
          <xdr:rowOff>87630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38" totalsRowShown="0" headerRowDxfId="25" dataDxfId="23" headerRowBorderDxfId="24" tableBorderDxfId="22" totalsRowBorderDxfId="21">
  <autoFilter ref="A5:M43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workbookViewId="0">
      <selection activeCell="A39" sqref="A39"/>
    </sheetView>
  </sheetViews>
  <sheetFormatPr defaultRowHeight="14.4"/>
  <cols>
    <col min="1" max="1" width="27" customWidth="1"/>
    <col min="2" max="2" width="34.88671875" customWidth="1"/>
    <col min="4" max="4" width="8.44140625" style="16" bestFit="1" customWidth="1"/>
    <col min="5" max="5" width="8.44140625" bestFit="1" customWidth="1"/>
    <col min="8" max="8" width="8.441406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1312</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38"/>
  <sheetViews>
    <sheetView tabSelected="1" zoomScale="85" zoomScaleNormal="85" workbookViewId="0">
      <pane ySplit="5" topLeftCell="A6" activePane="bottomLeft" state="frozen"/>
      <selection pane="bottomLeft" activeCell="A11" sqref="A11:XFD11"/>
    </sheetView>
  </sheetViews>
  <sheetFormatPr defaultRowHeight="14.4"/>
  <cols>
    <col min="1" max="2" width="22" style="12" customWidth="1"/>
    <col min="3" max="6" width="22" customWidth="1"/>
    <col min="7" max="7" width="30.88671875" style="12" bestFit="1" customWidth="1"/>
    <col min="8" max="8" width="30.88671875" style="12" customWidth="1"/>
    <col min="9" max="9" width="30.88671875" style="12" hidden="1" customWidth="1"/>
    <col min="10" max="10" width="22" style="16" customWidth="1"/>
    <col min="11" max="12" width="22" customWidth="1"/>
    <col min="13" max="13" width="23.5546875" bestFit="1" customWidth="1"/>
    <col min="17" max="17" width="12.88671875" bestFit="1" customWidth="1"/>
  </cols>
  <sheetData>
    <row r="5" spans="1:13" ht="15" customHeight="1">
      <c r="A5" s="25" t="s">
        <v>264</v>
      </c>
      <c r="B5" s="26" t="s">
        <v>1</v>
      </c>
      <c r="C5" s="26" t="s">
        <v>0</v>
      </c>
      <c r="D5" s="26" t="s">
        <v>105</v>
      </c>
      <c r="E5" s="26" t="s">
        <v>162</v>
      </c>
      <c r="F5" s="26" t="s">
        <v>2</v>
      </c>
      <c r="G5" s="26" t="s">
        <v>1397</v>
      </c>
      <c r="H5" s="26" t="s">
        <v>1398</v>
      </c>
      <c r="I5" s="26" t="s">
        <v>1317</v>
      </c>
      <c r="J5" s="26" t="s">
        <v>289</v>
      </c>
      <c r="K5" s="26" t="s">
        <v>106</v>
      </c>
      <c r="L5" s="37" t="s">
        <v>267</v>
      </c>
      <c r="M5" s="36" t="s">
        <v>1343</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1319</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688</v>
      </c>
      <c r="H11" s="10" t="s">
        <v>688</v>
      </c>
      <c r="I11" s="10" t="s">
        <v>1373</v>
      </c>
      <c r="J11" s="10" t="s">
        <v>716</v>
      </c>
      <c r="K11" s="10" t="s">
        <v>716</v>
      </c>
      <c r="L11" s="18" t="s">
        <v>270</v>
      </c>
      <c r="M11" s="33"/>
    </row>
    <row r="12" spans="1:13">
      <c r="A12" s="30" t="s">
        <v>187</v>
      </c>
      <c r="B12" s="11" t="s">
        <v>328</v>
      </c>
      <c r="C12" s="10" t="s">
        <v>716</v>
      </c>
      <c r="D12" s="10" t="s">
        <v>193</v>
      </c>
      <c r="E12" s="10" t="s">
        <v>716</v>
      </c>
      <c r="F12" s="10" t="s">
        <v>716</v>
      </c>
      <c r="G12" s="10" t="s">
        <v>1339</v>
      </c>
      <c r="H12" s="10" t="s">
        <v>1339</v>
      </c>
      <c r="I12" s="10" t="s">
        <v>1323</v>
      </c>
      <c r="J12" s="10" t="s">
        <v>716</v>
      </c>
      <c r="K12" s="10" t="s">
        <v>716</v>
      </c>
      <c r="L12" s="18" t="s">
        <v>270</v>
      </c>
      <c r="M12" s="33"/>
    </row>
    <row r="13" spans="1:13">
      <c r="A13" s="30" t="s">
        <v>195</v>
      </c>
      <c r="B13" s="11" t="s">
        <v>328</v>
      </c>
      <c r="C13" s="10" t="s">
        <v>716</v>
      </c>
      <c r="D13" s="10" t="s">
        <v>193</v>
      </c>
      <c r="E13" s="10" t="s">
        <v>716</v>
      </c>
      <c r="F13" s="10" t="s">
        <v>716</v>
      </c>
      <c r="G13" s="10" t="s">
        <v>1401</v>
      </c>
      <c r="H13" s="10" t="s">
        <v>1401</v>
      </c>
      <c r="I13" s="10" t="s">
        <v>1374</v>
      </c>
      <c r="J13" s="10" t="s">
        <v>716</v>
      </c>
      <c r="K13" s="10" t="s">
        <v>716</v>
      </c>
      <c r="L13" s="18" t="s">
        <v>270</v>
      </c>
      <c r="M13" s="33"/>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1320</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1402</v>
      </c>
      <c r="H30" s="10" t="s">
        <v>1403</v>
      </c>
      <c r="I30" s="10" t="s">
        <v>1345</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1320</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394</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394</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394</v>
      </c>
      <c r="H48" s="10" t="s">
        <v>394</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t="s">
        <v>1375</v>
      </c>
    </row>
    <row r="50" spans="1:13">
      <c r="A50" s="29" t="s">
        <v>199</v>
      </c>
      <c r="B50" s="11" t="s">
        <v>382</v>
      </c>
      <c r="C50" s="10" t="s">
        <v>716</v>
      </c>
      <c r="D50" s="10" t="s">
        <v>800</v>
      </c>
      <c r="E50" s="10" t="s">
        <v>716</v>
      </c>
      <c r="F50" s="10" t="s">
        <v>658</v>
      </c>
      <c r="G50" s="10" t="s">
        <v>394</v>
      </c>
      <c r="H50" s="10" t="s">
        <v>394</v>
      </c>
      <c r="I50" s="10" t="s">
        <v>394</v>
      </c>
      <c r="J50" s="10" t="s">
        <v>716</v>
      </c>
      <c r="K50" s="10" t="s">
        <v>716</v>
      </c>
      <c r="L50" s="18" t="s">
        <v>716</v>
      </c>
      <c r="M50" s="33"/>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315</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t="s">
        <v>1375</v>
      </c>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695</v>
      </c>
      <c r="H83" s="10" t="s">
        <v>695</v>
      </c>
      <c r="I83" s="10" t="s">
        <v>1346</v>
      </c>
      <c r="J83" s="10" t="s">
        <v>716</v>
      </c>
      <c r="K83" s="10" t="s">
        <v>716</v>
      </c>
      <c r="L83" s="18" t="s">
        <v>381</v>
      </c>
      <c r="M83" s="33"/>
    </row>
    <row r="84" spans="1:13">
      <c r="A84" s="29" t="s">
        <v>222</v>
      </c>
      <c r="B84" s="11" t="s">
        <v>327</v>
      </c>
      <c r="C84" s="10" t="s">
        <v>716</v>
      </c>
      <c r="D84" s="10" t="s">
        <v>389</v>
      </c>
      <c r="E84" s="10" t="s">
        <v>716</v>
      </c>
      <c r="F84" s="10" t="s">
        <v>729</v>
      </c>
      <c r="G84" s="10" t="s">
        <v>675</v>
      </c>
      <c r="H84" s="10" t="s">
        <v>675</v>
      </c>
      <c r="I84" s="10" t="s">
        <v>535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394</v>
      </c>
      <c r="J93" s="10" t="s">
        <v>716</v>
      </c>
      <c r="K93" s="10" t="s">
        <v>716</v>
      </c>
      <c r="L93" s="18" t="s">
        <v>353</v>
      </c>
      <c r="M93" s="33" t="s">
        <v>1386</v>
      </c>
    </row>
    <row r="94" spans="1:13">
      <c r="A94" s="29" t="s">
        <v>225</v>
      </c>
      <c r="B94" s="11">
        <v>10</v>
      </c>
      <c r="C94" s="10" t="s">
        <v>716</v>
      </c>
      <c r="D94" s="10" t="s">
        <v>403</v>
      </c>
      <c r="E94" s="10" t="s">
        <v>716</v>
      </c>
      <c r="F94" s="10" t="s">
        <v>404</v>
      </c>
      <c r="G94" s="10" t="s">
        <v>315</v>
      </c>
      <c r="H94" s="10" t="s">
        <v>315</v>
      </c>
      <c r="I94" s="10" t="s">
        <v>394</v>
      </c>
      <c r="J94" s="10" t="s">
        <v>716</v>
      </c>
      <c r="K94" s="10" t="s">
        <v>716</v>
      </c>
      <c r="L94" s="18" t="s">
        <v>353</v>
      </c>
      <c r="M94" s="33" t="s">
        <v>1386</v>
      </c>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394</v>
      </c>
      <c r="I126" s="10" t="s">
        <v>394</v>
      </c>
      <c r="J126" s="10" t="s">
        <v>716</v>
      </c>
      <c r="K126" s="10" t="s">
        <v>716</v>
      </c>
      <c r="L126" s="18" t="s">
        <v>1400</v>
      </c>
      <c r="M126" s="33" t="s">
        <v>1399</v>
      </c>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t="s">
        <v>1375</v>
      </c>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t="s">
        <v>1375</v>
      </c>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1321</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t="s">
        <v>1375</v>
      </c>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t="s">
        <v>1375</v>
      </c>
    </row>
    <row r="150" spans="1:13">
      <c r="A150" s="29" t="s">
        <v>804</v>
      </c>
      <c r="B150" s="11" t="s">
        <v>328</v>
      </c>
      <c r="C150" s="10" t="s">
        <v>716</v>
      </c>
      <c r="D150" s="10" t="s">
        <v>207</v>
      </c>
      <c r="E150" s="10" t="s">
        <v>716</v>
      </c>
      <c r="F150" s="10" t="s">
        <v>716</v>
      </c>
      <c r="G150" s="10" t="s">
        <v>1403</v>
      </c>
      <c r="H150" s="10" t="s">
        <v>1403</v>
      </c>
      <c r="I150" s="10" t="s">
        <v>1341</v>
      </c>
      <c r="J150" s="10" t="s">
        <v>716</v>
      </c>
      <c r="K150" s="10" t="s">
        <v>716</v>
      </c>
      <c r="L150" s="18" t="s">
        <v>716</v>
      </c>
      <c r="M150" s="33"/>
    </row>
    <row r="151" spans="1:13">
      <c r="A151" s="29" t="s">
        <v>805</v>
      </c>
      <c r="B151" s="11" t="s">
        <v>328</v>
      </c>
      <c r="C151" s="10" t="s">
        <v>716</v>
      </c>
      <c r="D151" s="10" t="s">
        <v>207</v>
      </c>
      <c r="E151" s="10" t="s">
        <v>716</v>
      </c>
      <c r="F151" s="10" t="s">
        <v>716</v>
      </c>
      <c r="G151" s="10" t="s">
        <v>1344</v>
      </c>
      <c r="H151" s="10" t="s">
        <v>1344</v>
      </c>
      <c r="I151" s="10" t="s">
        <v>1318</v>
      </c>
      <c r="J151" s="10" t="s">
        <v>716</v>
      </c>
      <c r="K151" s="10" t="s">
        <v>716</v>
      </c>
      <c r="L151" s="18" t="s">
        <v>716</v>
      </c>
      <c r="M151" s="33"/>
    </row>
    <row r="152" spans="1:13">
      <c r="A152" s="29" t="s">
        <v>806</v>
      </c>
      <c r="B152" s="11" t="s">
        <v>328</v>
      </c>
      <c r="C152" s="10" t="s">
        <v>716</v>
      </c>
      <c r="D152" s="10" t="s">
        <v>500</v>
      </c>
      <c r="E152" s="10" t="s">
        <v>716</v>
      </c>
      <c r="F152" s="10" t="s">
        <v>501</v>
      </c>
      <c r="G152" s="10" t="s">
        <v>1403</v>
      </c>
      <c r="H152" s="10" t="s">
        <v>1403</v>
      </c>
      <c r="I152" s="10" t="s">
        <v>1341</v>
      </c>
      <c r="J152" s="10" t="s">
        <v>716</v>
      </c>
      <c r="K152" s="10" t="s">
        <v>716</v>
      </c>
      <c r="L152" s="18" t="s">
        <v>716</v>
      </c>
      <c r="M152" s="33"/>
    </row>
    <row r="153" spans="1:13">
      <c r="A153" s="29" t="s">
        <v>807</v>
      </c>
      <c r="B153" s="11" t="s">
        <v>328</v>
      </c>
      <c r="C153" s="10" t="s">
        <v>716</v>
      </c>
      <c r="D153" s="10" t="s">
        <v>502</v>
      </c>
      <c r="E153" s="10" t="s">
        <v>716</v>
      </c>
      <c r="F153" s="10" t="s">
        <v>503</v>
      </c>
      <c r="G153" s="10" t="s">
        <v>1402</v>
      </c>
      <c r="H153" s="10" t="s">
        <v>1402</v>
      </c>
      <c r="I153" s="10" t="s">
        <v>1345</v>
      </c>
      <c r="J153" s="10" t="s">
        <v>716</v>
      </c>
      <c r="K153" s="10" t="s">
        <v>716</v>
      </c>
      <c r="L153" s="18" t="s">
        <v>716</v>
      </c>
      <c r="M153" s="33"/>
    </row>
    <row r="154" spans="1:13">
      <c r="A154" s="29" t="s">
        <v>210</v>
      </c>
      <c r="B154" s="11" t="s">
        <v>328</v>
      </c>
      <c r="C154" s="10" t="s">
        <v>716</v>
      </c>
      <c r="D154" s="10" t="s">
        <v>207</v>
      </c>
      <c r="E154" s="10" t="s">
        <v>716</v>
      </c>
      <c r="F154" s="10" t="s">
        <v>716</v>
      </c>
      <c r="G154" s="10" t="s">
        <v>1344</v>
      </c>
      <c r="H154" s="10" t="s">
        <v>1344</v>
      </c>
      <c r="I154" s="10" t="s">
        <v>1318</v>
      </c>
      <c r="J154" s="10" t="s">
        <v>716</v>
      </c>
      <c r="K154" s="10" t="s">
        <v>716</v>
      </c>
      <c r="L154" s="18" t="s">
        <v>716</v>
      </c>
      <c r="M154" s="33"/>
    </row>
    <row r="155" spans="1:13">
      <c r="A155" s="29" t="s">
        <v>232</v>
      </c>
      <c r="B155" s="11" t="s">
        <v>328</v>
      </c>
      <c r="C155" s="10" t="s">
        <v>716</v>
      </c>
      <c r="D155" s="10" t="s">
        <v>504</v>
      </c>
      <c r="E155" s="10" t="s">
        <v>716</v>
      </c>
      <c r="F155" s="10" t="s">
        <v>505</v>
      </c>
      <c r="G155" s="10" t="s">
        <v>1403</v>
      </c>
      <c r="H155" s="10" t="s">
        <v>1403</v>
      </c>
      <c r="I155" s="10" t="s">
        <v>1341</v>
      </c>
      <c r="J155" s="10" t="s">
        <v>716</v>
      </c>
      <c r="K155" s="10" t="s">
        <v>716</v>
      </c>
      <c r="L155" s="18" t="s">
        <v>716</v>
      </c>
      <c r="M155" s="33"/>
    </row>
    <row r="156" spans="1:13">
      <c r="A156" s="29" t="s">
        <v>213</v>
      </c>
      <c r="B156" s="11" t="s">
        <v>328</v>
      </c>
      <c r="C156" s="10" t="s">
        <v>716</v>
      </c>
      <c r="D156" s="10" t="s">
        <v>207</v>
      </c>
      <c r="E156" s="10" t="s">
        <v>716</v>
      </c>
      <c r="F156" s="10" t="s">
        <v>716</v>
      </c>
      <c r="G156" s="10" t="s">
        <v>1344</v>
      </c>
      <c r="H156" s="10" t="s">
        <v>1344</v>
      </c>
      <c r="I156" s="10" t="s">
        <v>1318</v>
      </c>
      <c r="J156" s="10" t="s">
        <v>716</v>
      </c>
      <c r="K156" s="10" t="s">
        <v>716</v>
      </c>
      <c r="L156" s="18" t="s">
        <v>716</v>
      </c>
      <c r="M156" s="33"/>
    </row>
    <row r="157" spans="1:13">
      <c r="A157" s="29" t="s">
        <v>233</v>
      </c>
      <c r="B157" s="11" t="s">
        <v>328</v>
      </c>
      <c r="C157" s="10" t="s">
        <v>716</v>
      </c>
      <c r="D157" s="10" t="s">
        <v>506</v>
      </c>
      <c r="E157" s="10" t="s">
        <v>716</v>
      </c>
      <c r="F157" s="10" t="s">
        <v>507</v>
      </c>
      <c r="G157" s="10" t="s">
        <v>1403</v>
      </c>
      <c r="H157" s="10" t="s">
        <v>1403</v>
      </c>
      <c r="I157" s="10" t="s">
        <v>1341</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1320</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1320</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394</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t="s">
        <v>1375</v>
      </c>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t="s">
        <v>1375</v>
      </c>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t="s">
        <v>1375</v>
      </c>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1340</v>
      </c>
      <c r="M245" s="33" t="s">
        <v>1375</v>
      </c>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394</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1320</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1311</v>
      </c>
      <c r="H308" s="10" t="s">
        <v>1311</v>
      </c>
      <c r="I308" s="10" t="s">
        <v>1322</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1320</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1320</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1320</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1320</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1320</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1320</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1320</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1320</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1320</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1320</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1320</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315</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394</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315</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1342</v>
      </c>
      <c r="M331" s="33" t="s">
        <v>1375</v>
      </c>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662</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315</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315</v>
      </c>
      <c r="J344" s="10" t="s">
        <v>716</v>
      </c>
      <c r="K344" s="10" t="s">
        <v>315</v>
      </c>
      <c r="L344" s="18" t="s">
        <v>716</v>
      </c>
      <c r="M344" s="33" t="s">
        <v>1384</v>
      </c>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t="s">
        <v>1375</v>
      </c>
    </row>
    <row r="350" spans="1:13">
      <c r="A350" s="29" t="s">
        <v>719</v>
      </c>
      <c r="B350" s="11" t="s">
        <v>364</v>
      </c>
      <c r="C350" s="10" t="s">
        <v>19</v>
      </c>
      <c r="D350" s="10" t="s">
        <v>251</v>
      </c>
      <c r="E350" s="10" t="s">
        <v>51</v>
      </c>
      <c r="F350" s="10" t="s">
        <v>127</v>
      </c>
      <c r="G350" s="10" t="s">
        <v>394</v>
      </c>
      <c r="H350" s="10" t="s">
        <v>394</v>
      </c>
      <c r="I350" s="10" t="s">
        <v>394</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394</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394</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394</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394</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t="s">
        <v>1375</v>
      </c>
    </row>
    <row r="356" spans="1:13">
      <c r="A356" s="29" t="s">
        <v>720</v>
      </c>
      <c r="B356" s="11">
        <v>14</v>
      </c>
      <c r="C356" s="10" t="s">
        <v>46</v>
      </c>
      <c r="D356" s="10" t="s">
        <v>252</v>
      </c>
      <c r="E356" s="10" t="s">
        <v>33</v>
      </c>
      <c r="F356" s="10" t="s">
        <v>167</v>
      </c>
      <c r="G356" s="10" t="s">
        <v>394</v>
      </c>
      <c r="H356" s="10" t="s">
        <v>394</v>
      </c>
      <c r="I356" s="10" t="s">
        <v>394</v>
      </c>
      <c r="J356" s="10" t="s">
        <v>164</v>
      </c>
      <c r="K356" s="10" t="s">
        <v>394</v>
      </c>
      <c r="L356" s="18" t="s">
        <v>716</v>
      </c>
      <c r="M356" s="33" t="s">
        <v>1375</v>
      </c>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t="s">
        <v>1375</v>
      </c>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t="s">
        <v>1375</v>
      </c>
    </row>
    <row r="359" spans="1:13">
      <c r="A359" s="29" t="s">
        <v>720</v>
      </c>
      <c r="B359" s="11">
        <v>11</v>
      </c>
      <c r="C359" s="10" t="s">
        <v>43</v>
      </c>
      <c r="D359" s="10" t="s">
        <v>252</v>
      </c>
      <c r="E359" s="10" t="s">
        <v>33</v>
      </c>
      <c r="F359" s="10" t="s">
        <v>161</v>
      </c>
      <c r="G359" s="10" t="s">
        <v>394</v>
      </c>
      <c r="H359" s="10" t="s">
        <v>394</v>
      </c>
      <c r="I359" s="10" t="s">
        <v>394</v>
      </c>
      <c r="J359" s="10" t="s">
        <v>160</v>
      </c>
      <c r="K359" s="10" t="s">
        <v>394</v>
      </c>
      <c r="L359" s="18" t="s">
        <v>716</v>
      </c>
      <c r="M359" s="33" t="s">
        <v>1375</v>
      </c>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t="s">
        <v>1375</v>
      </c>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t="s">
        <v>1375</v>
      </c>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t="s">
        <v>1375</v>
      </c>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315</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315</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315</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315</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394</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315</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394</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315</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315</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315</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315</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394</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315</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315</v>
      </c>
      <c r="J398" s="10" t="s">
        <v>716</v>
      </c>
      <c r="K398" s="10" t="s">
        <v>315</v>
      </c>
      <c r="L398" s="18" t="s">
        <v>716</v>
      </c>
      <c r="M398" s="33"/>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c r="A404" s="29" t="s">
        <v>723</v>
      </c>
      <c r="B404" s="11" t="s">
        <v>717</v>
      </c>
      <c r="C404" s="10" t="s">
        <v>100</v>
      </c>
      <c r="D404" s="10" t="s">
        <v>255</v>
      </c>
      <c r="E404" s="10" t="s">
        <v>141</v>
      </c>
      <c r="F404" s="10" t="s">
        <v>314</v>
      </c>
      <c r="G404" s="10" t="s">
        <v>315</v>
      </c>
      <c r="H404" s="10" t="s">
        <v>315</v>
      </c>
      <c r="I404" s="10" t="s">
        <v>315</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315</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315</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394</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394</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394</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394</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394</v>
      </c>
      <c r="J416" s="20" t="s">
        <v>716</v>
      </c>
      <c r="K416" s="20" t="s">
        <v>394</v>
      </c>
      <c r="L416" s="21" t="s">
        <v>716</v>
      </c>
      <c r="M416" s="33"/>
    </row>
    <row r="417" spans="1:13">
      <c r="A417" s="31" t="s">
        <v>1313</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c r="A418" s="31" t="s">
        <v>1313</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c r="A419" s="31" t="s">
        <v>1313</v>
      </c>
      <c r="B419" s="33" t="s">
        <v>344</v>
      </c>
      <c r="C419" s="33" t="s">
        <v>1381</v>
      </c>
      <c r="D419" s="19" t="s">
        <v>256</v>
      </c>
      <c r="E419" s="33" t="s">
        <v>128</v>
      </c>
      <c r="F419" s="33" t="s">
        <v>1382</v>
      </c>
      <c r="G419" s="33" t="s">
        <v>394</v>
      </c>
      <c r="H419" s="33" t="s">
        <v>394</v>
      </c>
      <c r="I419" s="35" t="s">
        <v>315</v>
      </c>
      <c r="J419" s="33" t="s">
        <v>716</v>
      </c>
      <c r="K419" s="33" t="s">
        <v>716</v>
      </c>
      <c r="L419" s="39" t="s">
        <v>716</v>
      </c>
      <c r="M419" s="33" t="s">
        <v>1396</v>
      </c>
    </row>
    <row r="420" spans="1:13">
      <c r="A420" s="31" t="s">
        <v>1313</v>
      </c>
      <c r="B420" s="33" t="s">
        <v>346</v>
      </c>
      <c r="C420" s="33" t="s">
        <v>1358</v>
      </c>
      <c r="D420" s="19" t="s">
        <v>256</v>
      </c>
      <c r="E420" s="33" t="s">
        <v>51</v>
      </c>
      <c r="F420" s="33" t="s">
        <v>1371</v>
      </c>
      <c r="G420" s="11" t="s">
        <v>394</v>
      </c>
      <c r="H420" s="11" t="s">
        <v>394</v>
      </c>
      <c r="I420" s="35" t="s">
        <v>315</v>
      </c>
      <c r="J420" s="11" t="s">
        <v>1372</v>
      </c>
      <c r="K420" s="11" t="s">
        <v>394</v>
      </c>
      <c r="L420" s="22" t="s">
        <v>716</v>
      </c>
      <c r="M420" s="33"/>
    </row>
    <row r="421" spans="1:13">
      <c r="A421" s="31" t="s">
        <v>1313</v>
      </c>
      <c r="B421" s="33" t="s">
        <v>348</v>
      </c>
      <c r="C421" s="33" t="s">
        <v>1357</v>
      </c>
      <c r="D421" s="19" t="s">
        <v>256</v>
      </c>
      <c r="E421" s="33" t="s">
        <v>51</v>
      </c>
      <c r="F421" s="33" t="s">
        <v>1369</v>
      </c>
      <c r="G421" s="11" t="s">
        <v>394</v>
      </c>
      <c r="H421" s="11" t="s">
        <v>394</v>
      </c>
      <c r="I421" s="35" t="s">
        <v>315</v>
      </c>
      <c r="J421" s="11" t="s">
        <v>1372</v>
      </c>
      <c r="K421" s="11" t="s">
        <v>394</v>
      </c>
      <c r="L421" s="22" t="s">
        <v>716</v>
      </c>
      <c r="M421" s="33"/>
    </row>
    <row r="422" spans="1:13">
      <c r="A422" s="31" t="s">
        <v>1313</v>
      </c>
      <c r="B422" s="33" t="s">
        <v>349</v>
      </c>
      <c r="C422" s="33" t="s">
        <v>1356</v>
      </c>
      <c r="D422" s="19" t="s">
        <v>256</v>
      </c>
      <c r="E422" s="33" t="s">
        <v>51</v>
      </c>
      <c r="F422" s="33" t="s">
        <v>1368</v>
      </c>
      <c r="G422" s="11" t="s">
        <v>394</v>
      </c>
      <c r="H422" s="11" t="s">
        <v>394</v>
      </c>
      <c r="I422" s="35" t="s">
        <v>315</v>
      </c>
      <c r="J422" s="11" t="s">
        <v>1372</v>
      </c>
      <c r="K422" s="11" t="s">
        <v>394</v>
      </c>
      <c r="L422" s="22" t="s">
        <v>716</v>
      </c>
      <c r="M422" s="33"/>
    </row>
    <row r="423" spans="1:13">
      <c r="A423" s="31" t="s">
        <v>1313</v>
      </c>
      <c r="B423" s="33" t="s">
        <v>351</v>
      </c>
      <c r="C423" s="33" t="s">
        <v>1355</v>
      </c>
      <c r="D423" s="19" t="s">
        <v>256</v>
      </c>
      <c r="E423" s="33" t="s">
        <v>51</v>
      </c>
      <c r="F423" s="33" t="s">
        <v>1370</v>
      </c>
      <c r="G423" s="11" t="s">
        <v>394</v>
      </c>
      <c r="H423" s="11" t="s">
        <v>394</v>
      </c>
      <c r="I423" s="35" t="s">
        <v>315</v>
      </c>
      <c r="J423" s="11" t="s">
        <v>1372</v>
      </c>
      <c r="K423" s="11" t="s">
        <v>394</v>
      </c>
      <c r="L423" s="22" t="s">
        <v>716</v>
      </c>
      <c r="M423" s="33"/>
    </row>
    <row r="424" spans="1:13">
      <c r="A424" s="31" t="s">
        <v>1313</v>
      </c>
      <c r="B424" s="33" t="s">
        <v>355</v>
      </c>
      <c r="C424" s="33" t="s">
        <v>1354</v>
      </c>
      <c r="D424" s="19" t="s">
        <v>256</v>
      </c>
      <c r="E424" s="11" t="s">
        <v>141</v>
      </c>
      <c r="F424" s="11" t="s">
        <v>716</v>
      </c>
      <c r="G424" s="11" t="s">
        <v>315</v>
      </c>
      <c r="H424" s="11" t="s">
        <v>315</v>
      </c>
      <c r="I424" s="35" t="s">
        <v>315</v>
      </c>
      <c r="J424" s="11" t="s">
        <v>716</v>
      </c>
      <c r="K424" s="11" t="s">
        <v>716</v>
      </c>
      <c r="L424" s="22" t="s">
        <v>716</v>
      </c>
      <c r="M424" s="33"/>
    </row>
    <row r="425" spans="1:13">
      <c r="A425" s="31" t="s">
        <v>1313</v>
      </c>
      <c r="B425" s="33" t="s">
        <v>468</v>
      </c>
      <c r="C425" s="33" t="s">
        <v>1353</v>
      </c>
      <c r="D425" s="19" t="s">
        <v>256</v>
      </c>
      <c r="E425" s="33" t="s">
        <v>33</v>
      </c>
      <c r="F425" s="33" t="s">
        <v>1367</v>
      </c>
      <c r="G425" s="11" t="s">
        <v>315</v>
      </c>
      <c r="H425" s="11" t="s">
        <v>315</v>
      </c>
      <c r="I425" s="35" t="s">
        <v>315</v>
      </c>
      <c r="J425" s="11" t="s">
        <v>1366</v>
      </c>
      <c r="K425" s="11" t="s">
        <v>315</v>
      </c>
      <c r="L425" s="22" t="s">
        <v>716</v>
      </c>
      <c r="M425" s="33" t="s">
        <v>1383</v>
      </c>
    </row>
    <row r="426" spans="1:13">
      <c r="A426" s="31" t="s">
        <v>1313</v>
      </c>
      <c r="B426" s="33" t="s">
        <v>467</v>
      </c>
      <c r="C426" s="33" t="s">
        <v>1359</v>
      </c>
      <c r="D426" s="19" t="s">
        <v>256</v>
      </c>
      <c r="E426" s="33" t="s">
        <v>128</v>
      </c>
      <c r="F426" s="33" t="s">
        <v>1367</v>
      </c>
      <c r="G426" s="11" t="s">
        <v>315</v>
      </c>
      <c r="H426" s="11" t="s">
        <v>315</v>
      </c>
      <c r="I426" s="35" t="s">
        <v>315</v>
      </c>
      <c r="J426" s="11" t="s">
        <v>1366</v>
      </c>
      <c r="K426" s="11" t="s">
        <v>394</v>
      </c>
      <c r="L426" s="22" t="s">
        <v>716</v>
      </c>
      <c r="M426" s="33"/>
    </row>
    <row r="427" spans="1:13">
      <c r="A427" s="31" t="s">
        <v>1313</v>
      </c>
      <c r="B427" s="33" t="s">
        <v>361</v>
      </c>
      <c r="C427" s="33" t="s">
        <v>1352</v>
      </c>
      <c r="D427" s="19" t="s">
        <v>256</v>
      </c>
      <c r="E427" s="33" t="s">
        <v>128</v>
      </c>
      <c r="F427" s="33" t="s">
        <v>1367</v>
      </c>
      <c r="G427" s="11" t="s">
        <v>394</v>
      </c>
      <c r="H427" s="11" t="s">
        <v>394</v>
      </c>
      <c r="I427" s="35" t="s">
        <v>315</v>
      </c>
      <c r="J427" s="11" t="s">
        <v>1366</v>
      </c>
      <c r="K427" s="11" t="s">
        <v>315</v>
      </c>
      <c r="L427" s="22" t="s">
        <v>716</v>
      </c>
      <c r="M427" s="33"/>
    </row>
    <row r="428" spans="1:13">
      <c r="A428" s="31" t="s">
        <v>1313</v>
      </c>
      <c r="B428" s="33" t="s">
        <v>364</v>
      </c>
      <c r="C428" s="33" t="s">
        <v>1351</v>
      </c>
      <c r="D428" s="19" t="s">
        <v>256</v>
      </c>
      <c r="E428" s="11" t="s">
        <v>51</v>
      </c>
      <c r="F428" s="11" t="s">
        <v>1365</v>
      </c>
      <c r="G428" s="33" t="s">
        <v>394</v>
      </c>
      <c r="H428" s="33" t="s">
        <v>394</v>
      </c>
      <c r="I428" s="35" t="s">
        <v>315</v>
      </c>
      <c r="J428" s="33" t="s">
        <v>1366</v>
      </c>
      <c r="K428" s="33" t="s">
        <v>394</v>
      </c>
      <c r="L428" s="39" t="s">
        <v>716</v>
      </c>
      <c r="M428" s="33" t="s">
        <v>1385</v>
      </c>
    </row>
    <row r="429" spans="1:13">
      <c r="A429" s="31" t="s">
        <v>1313</v>
      </c>
      <c r="B429" s="33" t="s">
        <v>368</v>
      </c>
      <c r="C429" s="33" t="s">
        <v>1350</v>
      </c>
      <c r="D429" s="19" t="s">
        <v>256</v>
      </c>
      <c r="E429" s="33" t="s">
        <v>33</v>
      </c>
      <c r="F429" s="11" t="s">
        <v>1364</v>
      </c>
      <c r="G429" s="11" t="s">
        <v>394</v>
      </c>
      <c r="H429" s="11" t="s">
        <v>394</v>
      </c>
      <c r="I429" s="35" t="s">
        <v>315</v>
      </c>
      <c r="J429" s="11" t="s">
        <v>716</v>
      </c>
      <c r="K429" s="11" t="s">
        <v>716</v>
      </c>
      <c r="L429" s="22" t="s">
        <v>716</v>
      </c>
      <c r="M429" s="33"/>
    </row>
    <row r="430" spans="1:13">
      <c r="A430" s="31" t="s">
        <v>1313</v>
      </c>
      <c r="B430" s="33" t="s">
        <v>370</v>
      </c>
      <c r="C430" s="33" t="s">
        <v>1349</v>
      </c>
      <c r="D430" s="19" t="s">
        <v>256</v>
      </c>
      <c r="E430" s="33" t="s">
        <v>33</v>
      </c>
      <c r="F430" s="11" t="s">
        <v>1363</v>
      </c>
      <c r="G430" s="11" t="s">
        <v>394</v>
      </c>
      <c r="H430" s="11" t="s">
        <v>394</v>
      </c>
      <c r="I430" s="35" t="s">
        <v>315</v>
      </c>
      <c r="J430" s="11" t="s">
        <v>716</v>
      </c>
      <c r="K430" s="11" t="s">
        <v>716</v>
      </c>
      <c r="L430" s="22" t="s">
        <v>716</v>
      </c>
      <c r="M430" s="33"/>
    </row>
    <row r="431" spans="1:13">
      <c r="A431" s="31" t="s">
        <v>1313</v>
      </c>
      <c r="B431" s="33" t="s">
        <v>373</v>
      </c>
      <c r="C431" s="33" t="s">
        <v>1348</v>
      </c>
      <c r="D431" s="19" t="s">
        <v>256</v>
      </c>
      <c r="E431" s="33" t="s">
        <v>716</v>
      </c>
      <c r="F431" s="33" t="s">
        <v>1362</v>
      </c>
      <c r="G431" s="11" t="s">
        <v>315</v>
      </c>
      <c r="H431" s="11" t="s">
        <v>315</v>
      </c>
      <c r="I431" s="35" t="s">
        <v>315</v>
      </c>
      <c r="J431" s="11" t="s">
        <v>716</v>
      </c>
      <c r="K431" s="11" t="s">
        <v>315</v>
      </c>
      <c r="L431" s="22" t="s">
        <v>716</v>
      </c>
      <c r="M431" s="33"/>
    </row>
    <row r="432" spans="1:13">
      <c r="A432" s="31" t="s">
        <v>1313</v>
      </c>
      <c r="B432" s="33" t="s">
        <v>377</v>
      </c>
      <c r="C432" s="33" t="s">
        <v>1347</v>
      </c>
      <c r="D432" s="19" t="s">
        <v>256</v>
      </c>
      <c r="E432" s="33" t="s">
        <v>128</v>
      </c>
      <c r="F432" s="33" t="s">
        <v>1360</v>
      </c>
      <c r="G432" s="11" t="s">
        <v>394</v>
      </c>
      <c r="H432" s="11" t="s">
        <v>394</v>
      </c>
      <c r="I432" s="35" t="s">
        <v>315</v>
      </c>
      <c r="J432" s="11" t="s">
        <v>1361</v>
      </c>
      <c r="K432" s="11" t="s">
        <v>716</v>
      </c>
      <c r="L432" s="22" t="s">
        <v>716</v>
      </c>
      <c r="M432" s="33"/>
    </row>
    <row r="433" spans="1:13">
      <c r="A433" s="31" t="s">
        <v>1314</v>
      </c>
      <c r="B433" s="19" t="s">
        <v>1388</v>
      </c>
      <c r="C433" s="19" t="s">
        <v>716</v>
      </c>
      <c r="D433" s="19" t="s">
        <v>257</v>
      </c>
      <c r="E433" s="19" t="s">
        <v>716</v>
      </c>
      <c r="F433" s="19" t="s">
        <v>716</v>
      </c>
      <c r="G433" s="19" t="s">
        <v>1393</v>
      </c>
      <c r="H433" s="19" t="s">
        <v>1393</v>
      </c>
      <c r="I433" s="19" t="s">
        <v>194</v>
      </c>
      <c r="J433" s="19" t="s">
        <v>716</v>
      </c>
      <c r="K433" s="19" t="s">
        <v>716</v>
      </c>
      <c r="L433" s="38" t="s">
        <v>716</v>
      </c>
      <c r="M433" s="35" t="s">
        <v>1375</v>
      </c>
    </row>
    <row r="434" spans="1:13">
      <c r="A434" s="31" t="s">
        <v>1314</v>
      </c>
      <c r="B434" s="33" t="s">
        <v>349</v>
      </c>
      <c r="C434" s="33" t="s">
        <v>1390</v>
      </c>
      <c r="D434" s="19" t="s">
        <v>257</v>
      </c>
      <c r="E434" s="33" t="s">
        <v>716</v>
      </c>
      <c r="F434" s="33" t="s">
        <v>1392</v>
      </c>
      <c r="G434" s="33" t="s">
        <v>394</v>
      </c>
      <c r="H434" s="33" t="s">
        <v>394</v>
      </c>
      <c r="I434" s="35"/>
      <c r="J434" s="33" t="s">
        <v>716</v>
      </c>
      <c r="K434" s="33" t="s">
        <v>716</v>
      </c>
      <c r="L434" s="39" t="s">
        <v>716</v>
      </c>
      <c r="M434" s="33" t="s">
        <v>1394</v>
      </c>
    </row>
    <row r="435" spans="1:13">
      <c r="A435" s="31" t="s">
        <v>1314</v>
      </c>
      <c r="B435" s="33" t="s">
        <v>351</v>
      </c>
      <c r="C435" s="33" t="s">
        <v>1389</v>
      </c>
      <c r="D435" s="19" t="s">
        <v>257</v>
      </c>
      <c r="E435" s="33" t="s">
        <v>716</v>
      </c>
      <c r="F435" s="33" t="s">
        <v>1391</v>
      </c>
      <c r="G435" s="33" t="s">
        <v>315</v>
      </c>
      <c r="H435" s="33" t="s">
        <v>315</v>
      </c>
      <c r="I435" s="35"/>
      <c r="J435" s="33" t="s">
        <v>716</v>
      </c>
      <c r="K435" s="33" t="s">
        <v>716</v>
      </c>
      <c r="L435" s="39" t="s">
        <v>716</v>
      </c>
      <c r="M435" s="33" t="s">
        <v>1394</v>
      </c>
    </row>
    <row r="436" spans="1:13">
      <c r="A436" s="31" t="s">
        <v>1314</v>
      </c>
      <c r="B436" s="33" t="s">
        <v>355</v>
      </c>
      <c r="C436" s="33" t="s">
        <v>1387</v>
      </c>
      <c r="D436" s="11" t="s">
        <v>257</v>
      </c>
      <c r="E436" s="33" t="s">
        <v>716</v>
      </c>
      <c r="F436" s="33" t="s">
        <v>1391</v>
      </c>
      <c r="G436" s="33" t="s">
        <v>315</v>
      </c>
      <c r="H436" s="33" t="s">
        <v>315</v>
      </c>
      <c r="I436" s="35"/>
      <c r="J436" s="33" t="s">
        <v>716</v>
      </c>
      <c r="K436" s="33" t="s">
        <v>716</v>
      </c>
      <c r="L436" s="39" t="s">
        <v>716</v>
      </c>
      <c r="M436" s="33" t="s">
        <v>1394</v>
      </c>
    </row>
    <row r="437" spans="1:13">
      <c r="A437" s="31" t="s">
        <v>1314</v>
      </c>
      <c r="B437" s="35" t="s">
        <v>877</v>
      </c>
      <c r="C437" s="35" t="s">
        <v>1377</v>
      </c>
      <c r="D437" s="19" t="s">
        <v>257</v>
      </c>
      <c r="E437" s="35" t="s">
        <v>128</v>
      </c>
      <c r="F437" s="35" t="s">
        <v>1378</v>
      </c>
      <c r="G437" s="35" t="s">
        <v>342</v>
      </c>
      <c r="H437" s="35" t="s">
        <v>342</v>
      </c>
      <c r="I437" s="41"/>
      <c r="J437" s="35" t="s">
        <v>716</v>
      </c>
      <c r="K437" s="35" t="s">
        <v>716</v>
      </c>
      <c r="L437" s="42" t="s">
        <v>716</v>
      </c>
      <c r="M437" s="35" t="s">
        <v>1395</v>
      </c>
    </row>
    <row r="438" spans="1:13">
      <c r="A438" s="31" t="s">
        <v>1314</v>
      </c>
      <c r="B438" s="35" t="s">
        <v>420</v>
      </c>
      <c r="C438" s="35" t="s">
        <v>1379</v>
      </c>
      <c r="D438" s="19" t="s">
        <v>257</v>
      </c>
      <c r="E438" s="35" t="s">
        <v>128</v>
      </c>
      <c r="F438" s="35" t="s">
        <v>1380</v>
      </c>
      <c r="G438" s="35" t="s">
        <v>315</v>
      </c>
      <c r="H438" s="35" t="s">
        <v>315</v>
      </c>
      <c r="I438" s="41"/>
      <c r="J438" s="35" t="s">
        <v>716</v>
      </c>
      <c r="K438" s="35" t="s">
        <v>716</v>
      </c>
      <c r="L438" s="42" t="s">
        <v>716</v>
      </c>
      <c r="M438" s="35" t="s">
        <v>1395</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1257300</xdr:colOff>
                <xdr:row>0</xdr:row>
                <xdr:rowOff>144780</xdr:rowOff>
              </from>
              <to>
                <xdr:col>5</xdr:col>
                <xdr:colOff>1104900</xdr:colOff>
                <xdr:row>3</xdr:row>
                <xdr:rowOff>83820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8" sqref="C8"/>
    </sheetView>
  </sheetViews>
  <sheetFormatPr defaultRowHeight="14.4"/>
  <cols>
    <col min="1" max="1" width="17.44140625" customWidth="1"/>
    <col min="2" max="2" width="9.109375" style="16"/>
    <col min="3" max="4" width="26.5546875" customWidth="1"/>
    <col min="5" max="5" width="42.88671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1406</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1376</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821</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823</v>
      </c>
      <c r="D16" s="1" t="s">
        <v>442</v>
      </c>
      <c r="E16" s="1"/>
      <c r="F16" s="6"/>
    </row>
    <row r="17" spans="1:6">
      <c r="A17" s="1" t="str">
        <f ca="1">DEC2HEX(INT(HEX2DEC(SUBSTITUTE('[1]full nvm map'!$G$83,"0x",""))*2)+(CELL("row",A17)-2)) &amp; "h"</f>
        <v>67h</v>
      </c>
      <c r="B17" s="24" t="s">
        <v>328</v>
      </c>
      <c r="C17" s="1" t="s">
        <v>825</v>
      </c>
      <c r="D17" s="1" t="s">
        <v>442</v>
      </c>
      <c r="E17" s="1" t="s">
        <v>824</v>
      </c>
      <c r="F17" s="6"/>
    </row>
    <row r="18" spans="1:6">
      <c r="A18" s="1" t="str">
        <f ca="1">DEC2HEX(INT(HEX2DEC(SUBSTITUTE('[1]full nvm map'!$G$83,"0x",""))*2)+(CELL("row",A18)-2)) &amp; "h"</f>
        <v>68h</v>
      </c>
      <c r="B18" s="24" t="s">
        <v>328</v>
      </c>
      <c r="C18" s="1" t="s">
        <v>849</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826</v>
      </c>
      <c r="D20" s="1" t="s">
        <v>662</v>
      </c>
      <c r="E20" s="1"/>
      <c r="F20" s="6"/>
    </row>
    <row r="21" spans="1:6">
      <c r="A21" s="1" t="str">
        <f ca="1">DEC2HEX(INT(HEX2DEC(SUBSTITUTE('[1]full nvm map'!$G$83,"0x",""))*2)+(CELL("row",A21)-2)) &amp; "h"</f>
        <v>6Bh</v>
      </c>
      <c r="B21" s="24" t="s">
        <v>328</v>
      </c>
      <c r="C21" s="1" t="s">
        <v>825</v>
      </c>
      <c r="D21" s="1" t="s">
        <v>662</v>
      </c>
      <c r="E21" s="1" t="s">
        <v>827</v>
      </c>
      <c r="F21" s="6"/>
    </row>
    <row r="22" spans="1:6">
      <c r="A22" s="1" t="str">
        <f ca="1">DEC2HEX(INT(HEX2DEC(SUBSTITUTE('[1]full nvm map'!$G$83,"0x",""))*2)+(CELL("row",A22)-2)) &amp; "h"</f>
        <v>6Ch</v>
      </c>
      <c r="B22" s="24" t="s">
        <v>328</v>
      </c>
      <c r="C22" s="1" t="s">
        <v>828</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829</v>
      </c>
      <c r="D24" s="1" t="s">
        <v>440</v>
      </c>
      <c r="E24" s="1"/>
      <c r="F24" s="6"/>
    </row>
    <row r="25" spans="1:6">
      <c r="A25" s="1" t="str">
        <f ca="1">DEC2HEX(INT(HEX2DEC(SUBSTITUTE('[1]full nvm map'!$G$83,"0x",""))*2)+(CELL("row",A25)-2)) &amp; "h"</f>
        <v>6Fh</v>
      </c>
      <c r="B25" s="24" t="s">
        <v>328</v>
      </c>
      <c r="C25" s="1" t="s">
        <v>825</v>
      </c>
      <c r="D25" s="1" t="s">
        <v>440</v>
      </c>
      <c r="E25" s="1" t="s">
        <v>830</v>
      </c>
      <c r="F25" s="6"/>
    </row>
    <row r="26" spans="1:6">
      <c r="A26" s="1" t="str">
        <f ca="1">DEC2HEX(INT(HEX2DEC(SUBSTITUTE('[1]full nvm map'!$G$83,"0x",""))*2)+(CELL("row",A26)-2)) &amp; "h"</f>
        <v>70h</v>
      </c>
      <c r="B26" s="24" t="s">
        <v>328</v>
      </c>
      <c r="C26" s="1" t="s">
        <v>831</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832</v>
      </c>
      <c r="D28" s="1" t="s">
        <v>441</v>
      </c>
      <c r="E28" s="1"/>
      <c r="F28" s="6"/>
    </row>
    <row r="29" spans="1:6">
      <c r="A29" s="1" t="str">
        <f ca="1">DEC2HEX(INT(HEX2DEC(SUBSTITUTE('[1]full nvm map'!$G$83,"0x",""))*2)+(CELL("row",A29)-2)) &amp; "h"</f>
        <v>73h</v>
      </c>
      <c r="B29" s="24" t="s">
        <v>328</v>
      </c>
      <c r="C29" s="1" t="s">
        <v>825</v>
      </c>
      <c r="D29" s="1" t="s">
        <v>441</v>
      </c>
      <c r="E29" s="1" t="s">
        <v>833</v>
      </c>
      <c r="F29" s="6"/>
    </row>
    <row r="30" spans="1:6">
      <c r="A30" s="1" t="str">
        <f ca="1">DEC2HEX(INT(HEX2DEC(SUBSTITUTE('[1]full nvm map'!$G$83,"0x",""))*2)+(CELL("row",A30)-2)) &amp; "h"</f>
        <v>74h</v>
      </c>
      <c r="B30" s="24" t="s">
        <v>328</v>
      </c>
      <c r="C30" s="1" t="s">
        <v>834</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832</v>
      </c>
      <c r="D32" s="1" t="s">
        <v>663</v>
      </c>
      <c r="E32" s="1"/>
      <c r="F32" s="6"/>
    </row>
    <row r="33" spans="1:6">
      <c r="A33" s="1" t="str">
        <f ca="1">DEC2HEX(INT(HEX2DEC(SUBSTITUTE('[1]full nvm map'!$G$83,"0x",""))*2)+(CELL("row",A33)-2)) &amp; "h"</f>
        <v>77h</v>
      </c>
      <c r="B33" s="24" t="s">
        <v>328</v>
      </c>
      <c r="C33" s="1" t="s">
        <v>825</v>
      </c>
      <c r="D33" s="1" t="s">
        <v>663</v>
      </c>
      <c r="E33" s="1" t="s">
        <v>835</v>
      </c>
      <c r="F33" s="6"/>
    </row>
    <row r="34" spans="1:6">
      <c r="A34" s="1" t="str">
        <f ca="1">DEC2HEX(INT(HEX2DEC(SUBSTITUTE('[1]full nvm map'!$G$83,"0x",""))*2)+(CELL("row",A34)-2)) &amp; "h"</f>
        <v>78h</v>
      </c>
      <c r="B34" s="24" t="s">
        <v>328</v>
      </c>
      <c r="C34" s="1" t="s">
        <v>836</v>
      </c>
      <c r="D34" s="1" t="s">
        <v>664</v>
      </c>
      <c r="E34" s="1"/>
      <c r="F34" s="6"/>
    </row>
    <row r="35" spans="1:6">
      <c r="A35" s="1" t="str">
        <f ca="1">DEC2HEX(INT(HEX2DEC(SUBSTITUTE('[1]full nvm map'!$G$83,"0x",""))*2)+(CELL("row",A35)-2)) &amp; "h"</f>
        <v>79h</v>
      </c>
      <c r="B35" s="24" t="s">
        <v>328</v>
      </c>
      <c r="C35" s="1" t="s">
        <v>822</v>
      </c>
      <c r="D35" s="1" t="s">
        <v>664</v>
      </c>
      <c r="E35" s="1"/>
      <c r="F35" s="6"/>
    </row>
    <row r="36" spans="1:6">
      <c r="A36" s="1" t="str">
        <f ca="1">DEC2HEX(INT(HEX2DEC(SUBSTITUTE('[1]full nvm map'!$G$83,"0x",""))*2)+(CELL("row",A36)-2)) &amp; "h"</f>
        <v>7Ah</v>
      </c>
      <c r="B36" s="24" t="s">
        <v>328</v>
      </c>
      <c r="C36" s="1" t="s">
        <v>832</v>
      </c>
      <c r="D36" s="1" t="s">
        <v>664</v>
      </c>
      <c r="E36" s="1"/>
      <c r="F36" s="6"/>
    </row>
    <row r="37" spans="1:6">
      <c r="A37" s="1" t="str">
        <f ca="1">DEC2HEX(INT(HEX2DEC(SUBSTITUTE('[1]full nvm map'!$G$83,"0x",""))*2)+(CELL("row",A37)-2)) &amp; "h"</f>
        <v>7Bh</v>
      </c>
      <c r="B37" s="24" t="s">
        <v>328</v>
      </c>
      <c r="C37" s="1" t="s">
        <v>825</v>
      </c>
      <c r="D37" s="1" t="s">
        <v>664</v>
      </c>
      <c r="E37" s="1" t="s">
        <v>837</v>
      </c>
      <c r="F37" s="6"/>
    </row>
    <row r="38" spans="1:6">
      <c r="A38" s="1" t="str">
        <f ca="1">DEC2HEX(INT(HEX2DEC(SUBSTITUTE('[1]full nvm map'!$G$83,"0x",""))*2)+(CELL("row",A38)-2)) &amp; "h"</f>
        <v>7Ch</v>
      </c>
      <c r="B38" s="24" t="s">
        <v>328</v>
      </c>
      <c r="C38" s="1" t="s">
        <v>838</v>
      </c>
      <c r="D38" s="1" t="s">
        <v>665</v>
      </c>
      <c r="E38" s="1"/>
      <c r="F38" s="6"/>
    </row>
    <row r="39" spans="1:6">
      <c r="A39" s="1" t="str">
        <f ca="1">DEC2HEX(INT(HEX2DEC(SUBSTITUTE('[1]full nvm map'!$G$83,"0x",""))*2)+(CELL("row",A39)-2)) &amp; "h"</f>
        <v>7Dh</v>
      </c>
      <c r="B39" s="24" t="s">
        <v>328</v>
      </c>
      <c r="C39" s="1" t="s">
        <v>822</v>
      </c>
      <c r="D39" s="1" t="s">
        <v>665</v>
      </c>
      <c r="E39" s="1"/>
      <c r="F39" s="6"/>
    </row>
    <row r="40" spans="1:6">
      <c r="A40" s="1" t="str">
        <f ca="1">DEC2HEX(INT(HEX2DEC(SUBSTITUTE('[1]full nvm map'!$G$83,"0x",""))*2)+(CELL("row",A40)-2)) &amp; "h"</f>
        <v>7Eh</v>
      </c>
      <c r="B40" s="24" t="s">
        <v>328</v>
      </c>
      <c r="C40" s="1" t="s">
        <v>839</v>
      </c>
      <c r="D40" s="1" t="s">
        <v>665</v>
      </c>
      <c r="E40" s="1"/>
      <c r="F40" s="6"/>
    </row>
    <row r="41" spans="1:6">
      <c r="A41" s="1" t="str">
        <f ca="1">DEC2HEX(INT(HEX2DEC(SUBSTITUTE('[1]full nvm map'!$G$83,"0x",""))*2)+(CELL("row",A41)-2)) &amp; "h"</f>
        <v>7Fh</v>
      </c>
      <c r="B41" s="24" t="s">
        <v>328</v>
      </c>
      <c r="C41" s="1" t="s">
        <v>825</v>
      </c>
      <c r="D41" s="1" t="s">
        <v>665</v>
      </c>
      <c r="E41" s="1" t="s">
        <v>840</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822</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825</v>
      </c>
      <c r="D45" s="1" t="s">
        <v>666</v>
      </c>
      <c r="E45" s="1" t="s">
        <v>841</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11" sqref="C11"/>
    </sheetView>
  </sheetViews>
  <sheetFormatPr defaultRowHeight="14.4"/>
  <cols>
    <col min="1" max="1" width="17.5546875" customWidth="1"/>
    <col min="2" max="2" width="9.109375" style="16"/>
    <col min="3" max="3" width="26.109375" customWidth="1"/>
    <col min="5" max="5" width="42.88671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1406</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1376</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846</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847</v>
      </c>
      <c r="D16" s="1" t="s">
        <v>442</v>
      </c>
      <c r="E16" s="1"/>
      <c r="F16" s="6"/>
    </row>
    <row r="17" spans="1:6">
      <c r="A17" s="1" t="str">
        <f ca="1">DEC2HEX(INT(HEX2DEC(SUBSTITUTE('[1]full nvm map'!$G$83,"0x",""))*2)+(CELL("row",A17)-2)) &amp; "h"</f>
        <v>67h</v>
      </c>
      <c r="B17" s="24" t="s">
        <v>328</v>
      </c>
      <c r="C17" s="1" t="s">
        <v>825</v>
      </c>
      <c r="D17" s="1" t="s">
        <v>442</v>
      </c>
      <c r="E17" s="1" t="s">
        <v>851</v>
      </c>
      <c r="F17" s="6"/>
    </row>
    <row r="18" spans="1:6">
      <c r="A18" s="1" t="str">
        <f ca="1">DEC2HEX(INT(HEX2DEC(SUBSTITUTE('[1]full nvm map'!$G$83,"0x",""))*2)+(CELL("row",A18)-2)) &amp; "h"</f>
        <v>68h</v>
      </c>
      <c r="B18" s="24" t="s">
        <v>328</v>
      </c>
      <c r="C18" s="1" t="s">
        <v>821</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848</v>
      </c>
      <c r="D20" s="1" t="s">
        <v>662</v>
      </c>
      <c r="E20" s="1"/>
      <c r="F20" s="6"/>
    </row>
    <row r="21" spans="1:6">
      <c r="A21" s="1" t="str">
        <f ca="1">DEC2HEX(INT(HEX2DEC(SUBSTITUTE('[1]full nvm map'!$G$83,"0x",""))*2)+(CELL("row",A21)-2)) &amp; "h"</f>
        <v>6Bh</v>
      </c>
      <c r="B21" s="24" t="s">
        <v>328</v>
      </c>
      <c r="C21" s="1" t="s">
        <v>825</v>
      </c>
      <c r="D21" s="1" t="s">
        <v>662</v>
      </c>
      <c r="E21" s="1" t="s">
        <v>852</v>
      </c>
      <c r="F21" s="6"/>
    </row>
    <row r="22" spans="1:6">
      <c r="A22" s="1" t="str">
        <f ca="1">DEC2HEX(INT(HEX2DEC(SUBSTITUTE('[1]full nvm map'!$G$83,"0x",""))*2)+(CELL("row",A22)-2)) &amp; "h"</f>
        <v>6Ch</v>
      </c>
      <c r="B22" s="24" t="s">
        <v>328</v>
      </c>
      <c r="C22" s="1" t="s">
        <v>849</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850</v>
      </c>
      <c r="D24" s="1" t="s">
        <v>440</v>
      </c>
      <c r="E24" s="1"/>
      <c r="F24" s="6"/>
    </row>
    <row r="25" spans="1:6">
      <c r="A25" s="1" t="str">
        <f ca="1">DEC2HEX(INT(HEX2DEC(SUBSTITUTE('[1]full nvm map'!$G$83,"0x",""))*2)+(CELL("row",A25)-2)) &amp; "h"</f>
        <v>6Fh</v>
      </c>
      <c r="B25" s="24" t="s">
        <v>328</v>
      </c>
      <c r="C25" s="1" t="s">
        <v>825</v>
      </c>
      <c r="D25" s="1" t="s">
        <v>440</v>
      </c>
      <c r="E25" s="1" t="s">
        <v>853</v>
      </c>
      <c r="F25" s="6"/>
    </row>
    <row r="26" spans="1:6">
      <c r="A26" s="1" t="str">
        <f ca="1">DEC2HEX(INT(HEX2DEC(SUBSTITUTE('[1]full nvm map'!$G$83,"0x",""))*2)+(CELL("row",A26)-2)) &amp; "h"</f>
        <v>70h</v>
      </c>
      <c r="B26" s="24" t="s">
        <v>328</v>
      </c>
      <c r="C26" s="1" t="s">
        <v>838</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839</v>
      </c>
      <c r="D28" s="1" t="s">
        <v>441</v>
      </c>
      <c r="E28" s="1"/>
      <c r="F28" s="6"/>
    </row>
    <row r="29" spans="1:6">
      <c r="A29" s="1" t="str">
        <f ca="1">DEC2HEX(INT(HEX2DEC(SUBSTITUTE('[1]full nvm map'!$G$83,"0x",""))*2)+(CELL("row",A29)-2)) &amp; "h"</f>
        <v>73h</v>
      </c>
      <c r="B29" s="24" t="s">
        <v>328</v>
      </c>
      <c r="C29" s="1" t="s">
        <v>825</v>
      </c>
      <c r="D29" s="1" t="s">
        <v>441</v>
      </c>
      <c r="E29" s="1" t="s">
        <v>840</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825</v>
      </c>
      <c r="D33" s="1" t="s">
        <v>663</v>
      </c>
      <c r="E33" s="1" t="s">
        <v>841</v>
      </c>
      <c r="F33"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4.4"/>
  <cols>
    <col min="1" max="1" width="19.5546875" customWidth="1"/>
    <col min="3" max="3" width="27.5546875" customWidth="1"/>
    <col min="4" max="4" width="42.6640625" customWidth="1"/>
    <col min="5" max="5" width="41.44140625" bestFit="1" customWidth="1"/>
    <col min="6" max="6" width="19.5546875" style="12" customWidth="1"/>
  </cols>
  <sheetData>
    <row r="1" spans="1:6" ht="15" customHeight="1">
      <c r="A1" s="25" t="s">
        <v>264</v>
      </c>
      <c r="B1" s="26" t="s">
        <v>1</v>
      </c>
      <c r="C1" s="26" t="s">
        <v>287</v>
      </c>
      <c r="D1" s="26" t="s">
        <v>267</v>
      </c>
      <c r="E1" s="26" t="s">
        <v>1315</v>
      </c>
      <c r="F1"/>
    </row>
    <row r="2" spans="1:6">
      <c r="A2" s="17" t="str">
        <f>DEC2HEX(INT(HEX2DEC(SUBSTITUTE('full nvm map'!$G$308,"0x",""))+HEX2DEC(E2)))&amp;"h"</f>
        <v>200h</v>
      </c>
      <c r="B2" s="14" t="s">
        <v>328</v>
      </c>
      <c r="C2" s="1" t="s">
        <v>854</v>
      </c>
      <c r="D2" s="1" t="s">
        <v>855</v>
      </c>
      <c r="E2" s="14" t="s">
        <v>377</v>
      </c>
      <c r="F2"/>
    </row>
    <row r="3" spans="1:6">
      <c r="A3" s="17" t="str">
        <f>DEC2HEX(INT(HEX2DEC(SUBSTITUTE('full nvm map'!$G$308,"0x",""))+HEX2DEC(E3)))&amp;"h"</f>
        <v>201h</v>
      </c>
      <c r="B3" s="14" t="s">
        <v>328</v>
      </c>
      <c r="C3" s="1" t="s">
        <v>856</v>
      </c>
      <c r="D3" s="1" t="s">
        <v>857</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858</v>
      </c>
      <c r="D5" s="1" t="s">
        <v>859</v>
      </c>
      <c r="E5" s="14" t="s">
        <v>370</v>
      </c>
      <c r="F5"/>
    </row>
    <row r="6" spans="1:6">
      <c r="A6" s="17" t="str">
        <f>DEC2HEX(INT(HEX2DEC(SUBSTITUTE('full nvm map'!$G$308,"0x",""))+HEX2DEC(E6)))&amp;"h"</f>
        <v>203h</v>
      </c>
      <c r="B6" s="14" t="s">
        <v>328</v>
      </c>
      <c r="C6" s="1" t="s">
        <v>798</v>
      </c>
      <c r="D6" s="1" t="s">
        <v>860</v>
      </c>
      <c r="E6" s="14" t="s">
        <v>368</v>
      </c>
      <c r="F6"/>
    </row>
    <row r="7" spans="1:6">
      <c r="A7" s="17" t="str">
        <f>DEC2HEX(INT(HEX2DEC(SUBSTITUTE('full nvm map'!$G$308,"0x",""))+HEX2DEC(E7)))&amp;"h"</f>
        <v>204h</v>
      </c>
      <c r="B7" s="14" t="s">
        <v>328</v>
      </c>
      <c r="C7" s="1" t="s">
        <v>798</v>
      </c>
      <c r="D7" s="1" t="s">
        <v>860</v>
      </c>
      <c r="E7" s="14" t="s">
        <v>364</v>
      </c>
      <c r="F7"/>
    </row>
    <row r="8" spans="1:6">
      <c r="A8" s="17" t="str">
        <f>DEC2HEX(INT(HEX2DEC(SUBSTITUTE('full nvm map'!$G$308,"0x",""))+HEX2DEC(E8)))&amp;"h"</f>
        <v>205h</v>
      </c>
      <c r="B8" s="14" t="s">
        <v>328</v>
      </c>
      <c r="C8" s="1" t="s">
        <v>798</v>
      </c>
      <c r="D8" s="1" t="s">
        <v>860</v>
      </c>
      <c r="E8" s="14" t="s">
        <v>361</v>
      </c>
      <c r="F8"/>
    </row>
    <row r="9" spans="1:6">
      <c r="A9" s="17" t="str">
        <f>DEC2HEX(INT(HEX2DEC(SUBSTITUTE('full nvm map'!$G$308,"0x",""))+HEX2DEC(E9)))&amp;"h"</f>
        <v>206h</v>
      </c>
      <c r="B9" s="14" t="s">
        <v>328</v>
      </c>
      <c r="C9" s="1" t="s">
        <v>798</v>
      </c>
      <c r="D9" s="1" t="s">
        <v>860</v>
      </c>
      <c r="E9" s="14" t="s">
        <v>467</v>
      </c>
      <c r="F9"/>
    </row>
    <row r="10" spans="1:6">
      <c r="A10" s="17" t="str">
        <f>DEC2HEX(INT(HEX2DEC(SUBSTITUTE('full nvm map'!$G$308,"0x",""))+HEX2DEC(E10)))&amp;"h"</f>
        <v>207h</v>
      </c>
      <c r="B10" s="14" t="s">
        <v>328</v>
      </c>
      <c r="C10" s="1" t="s">
        <v>798</v>
      </c>
      <c r="D10" s="1" t="s">
        <v>860</v>
      </c>
      <c r="E10" s="14" t="s">
        <v>468</v>
      </c>
      <c r="F10"/>
    </row>
    <row r="11" spans="1:6">
      <c r="A11" s="17" t="str">
        <f>DEC2HEX(INT(HEX2DEC(SUBSTITUTE('full nvm map'!$G$308,"0x",""))+HEX2DEC(E11)))&amp;"h"</f>
        <v>208h</v>
      </c>
      <c r="B11" s="14" t="s">
        <v>328</v>
      </c>
      <c r="C11" s="1" t="s">
        <v>798</v>
      </c>
      <c r="D11" s="1" t="s">
        <v>860</v>
      </c>
      <c r="E11" s="14" t="s">
        <v>355</v>
      </c>
      <c r="F11"/>
    </row>
    <row r="12" spans="1:6">
      <c r="A12" s="17" t="str">
        <f>DEC2HEX(INT(HEX2DEC(SUBSTITUTE('full nvm map'!$G$308,"0x",""))+HEX2DEC(E12)))&amp;"h"</f>
        <v>209h</v>
      </c>
      <c r="B12" s="14" t="s">
        <v>328</v>
      </c>
      <c r="C12" s="1" t="s">
        <v>798</v>
      </c>
      <c r="D12" s="1" t="s">
        <v>860</v>
      </c>
      <c r="E12" s="14" t="s">
        <v>351</v>
      </c>
      <c r="F12"/>
    </row>
    <row r="13" spans="1:6">
      <c r="A13" s="17" t="str">
        <f>DEC2HEX(INT(HEX2DEC(SUBSTITUTE('full nvm map'!$G$308,"0x",""))+HEX2DEC(E13)))&amp;"h"</f>
        <v>20Ah</v>
      </c>
      <c r="B13" s="14" t="s">
        <v>328</v>
      </c>
      <c r="C13" s="1" t="s">
        <v>798</v>
      </c>
      <c r="D13" s="1" t="s">
        <v>860</v>
      </c>
      <c r="E13" s="14" t="s">
        <v>843</v>
      </c>
      <c r="F13"/>
    </row>
    <row r="14" spans="1:6">
      <c r="A14" s="17" t="str">
        <f>DEC2HEX(INT(HEX2DEC(SUBSTITUTE('full nvm map'!$G$308,"0x",""))+HEX2DEC(E14)))&amp;"h"</f>
        <v>20Bh</v>
      </c>
      <c r="B14" s="14" t="s">
        <v>328</v>
      </c>
      <c r="C14" s="1" t="s">
        <v>798</v>
      </c>
      <c r="D14" s="1" t="s">
        <v>860</v>
      </c>
      <c r="E14" s="14" t="s">
        <v>844</v>
      </c>
      <c r="F14"/>
    </row>
    <row r="15" spans="1:6">
      <c r="A15" s="17" t="str">
        <f>DEC2HEX(INT(HEX2DEC(SUBSTITUTE('full nvm map'!$G$308,"0x",""))+HEX2DEC(E15)))&amp;"h"</f>
        <v>20Ch</v>
      </c>
      <c r="B15" s="14" t="s">
        <v>328</v>
      </c>
      <c r="C15" s="1" t="s">
        <v>798</v>
      </c>
      <c r="D15" s="1" t="s">
        <v>860</v>
      </c>
      <c r="E15" s="14" t="s">
        <v>1067</v>
      </c>
      <c r="F15"/>
    </row>
    <row r="16" spans="1:6">
      <c r="A16" s="17" t="str">
        <f>DEC2HEX(INT(HEX2DEC(SUBSTITUTE('full nvm map'!$G$308,"0x",""))+HEX2DEC(E16)))&amp;"h"</f>
        <v>20Dh</v>
      </c>
      <c r="B16" s="14" t="s">
        <v>328</v>
      </c>
      <c r="C16" s="1" t="s">
        <v>798</v>
      </c>
      <c r="D16" s="1" t="s">
        <v>860</v>
      </c>
      <c r="E16" s="14" t="s">
        <v>1068</v>
      </c>
      <c r="F16"/>
    </row>
    <row r="17" spans="1:6">
      <c r="A17" s="17" t="str">
        <f>DEC2HEX(INT(HEX2DEC(SUBSTITUTE('full nvm map'!$G$308,"0x",""))+HEX2DEC(E17)))&amp;"h"</f>
        <v>20Eh</v>
      </c>
      <c r="B17" s="14" t="s">
        <v>328</v>
      </c>
      <c r="C17" s="1" t="s">
        <v>798</v>
      </c>
      <c r="D17" s="1" t="s">
        <v>860</v>
      </c>
      <c r="E17" s="14" t="s">
        <v>1069</v>
      </c>
      <c r="F17"/>
    </row>
    <row r="18" spans="1:6">
      <c r="A18" s="17" t="str">
        <f>DEC2HEX(INT(HEX2DEC(SUBSTITUTE('full nvm map'!$G$308,"0x",""))+HEX2DEC(E18)))&amp;"h"</f>
        <v>20Fh</v>
      </c>
      <c r="B18" s="14" t="s">
        <v>328</v>
      </c>
      <c r="C18" s="1" t="s">
        <v>798</v>
      </c>
      <c r="D18" s="1" t="s">
        <v>860</v>
      </c>
      <c r="E18" s="14" t="s">
        <v>1070</v>
      </c>
      <c r="F18"/>
    </row>
    <row r="19" spans="1:6">
      <c r="A19" s="17" t="str">
        <f>DEC2HEX(INT(HEX2DEC(SUBSTITUTE('full nvm map'!$G$308,"0x",""))+HEX2DEC(E19)))&amp;"h"</f>
        <v>210h</v>
      </c>
      <c r="B19" s="14" t="s">
        <v>328</v>
      </c>
      <c r="C19" s="1" t="s">
        <v>798</v>
      </c>
      <c r="D19" s="1" t="s">
        <v>860</v>
      </c>
      <c r="E19" s="14" t="s">
        <v>349</v>
      </c>
      <c r="F19"/>
    </row>
    <row r="20" spans="1:6">
      <c r="A20" s="17" t="str">
        <f>DEC2HEX(INT(HEX2DEC(SUBSTITUTE('full nvm map'!$G$308,"0x",""))+HEX2DEC(E20)))&amp;"h"</f>
        <v>211h</v>
      </c>
      <c r="B20" s="14" t="s">
        <v>328</v>
      </c>
      <c r="C20" s="1" t="s">
        <v>798</v>
      </c>
      <c r="D20" s="1" t="s">
        <v>860</v>
      </c>
      <c r="E20" s="14" t="s">
        <v>348</v>
      </c>
      <c r="F20"/>
    </row>
    <row r="21" spans="1:6">
      <c r="A21" s="17" t="str">
        <f>DEC2HEX(INT(HEX2DEC(SUBSTITUTE('full nvm map'!$G$308,"0x",""))+HEX2DEC(E21)))&amp;"h"</f>
        <v>212h</v>
      </c>
      <c r="B21" s="14" t="s">
        <v>328</v>
      </c>
      <c r="C21" s="1" t="s">
        <v>798</v>
      </c>
      <c r="D21" s="1" t="s">
        <v>860</v>
      </c>
      <c r="E21" s="14" t="s">
        <v>346</v>
      </c>
      <c r="F21"/>
    </row>
    <row r="22" spans="1:6">
      <c r="A22" s="17" t="str">
        <f>DEC2HEX(INT(HEX2DEC(SUBSTITUTE('full nvm map'!$G$308,"0x",""))+HEX2DEC(E22)))&amp;"h"</f>
        <v>213h</v>
      </c>
      <c r="B22" s="14" t="s">
        <v>328</v>
      </c>
      <c r="C22" s="1" t="s">
        <v>798</v>
      </c>
      <c r="D22" s="1" t="s">
        <v>860</v>
      </c>
      <c r="E22" s="14" t="s">
        <v>344</v>
      </c>
      <c r="F22"/>
    </row>
    <row r="23" spans="1:6">
      <c r="A23" s="17" t="str">
        <f>DEC2HEX(INT(HEX2DEC(SUBSTITUTE('full nvm map'!$G$308,"0x",""))+HEX2DEC(E23)))&amp;"h"</f>
        <v>214h</v>
      </c>
      <c r="B23" s="14" t="s">
        <v>328</v>
      </c>
      <c r="C23" s="1" t="s">
        <v>798</v>
      </c>
      <c r="D23" s="1" t="s">
        <v>860</v>
      </c>
      <c r="E23" s="14" t="s">
        <v>382</v>
      </c>
      <c r="F23"/>
    </row>
    <row r="24" spans="1:6">
      <c r="A24" s="17" t="str">
        <f>DEC2HEX(INT(HEX2DEC(SUBSTITUTE('full nvm map'!$G$308,"0x",""))+HEX2DEC(E24)))&amp;"h"</f>
        <v>215h</v>
      </c>
      <c r="B24" s="14" t="s">
        <v>328</v>
      </c>
      <c r="C24" s="1" t="s">
        <v>798</v>
      </c>
      <c r="D24" s="1" t="s">
        <v>860</v>
      </c>
      <c r="E24" s="14" t="s">
        <v>379</v>
      </c>
      <c r="F24"/>
    </row>
    <row r="25" spans="1:6">
      <c r="A25" s="17" t="str">
        <f>DEC2HEX(INT(HEX2DEC(SUBSTITUTE('full nvm map'!$G$308,"0x",""))+HEX2DEC(E25)))&amp;"h"</f>
        <v>216h</v>
      </c>
      <c r="B25" s="14" t="s">
        <v>328</v>
      </c>
      <c r="C25" s="1" t="s">
        <v>798</v>
      </c>
      <c r="D25" s="1" t="s">
        <v>860</v>
      </c>
      <c r="E25" s="14" t="s">
        <v>879</v>
      </c>
      <c r="F25"/>
    </row>
    <row r="26" spans="1:6">
      <c r="A26" s="17" t="str">
        <f>DEC2HEX(INT(HEX2DEC(SUBSTITUTE('full nvm map'!$G$308,"0x",""))+HEX2DEC(E26)))&amp;"h"</f>
        <v>217h</v>
      </c>
      <c r="B26" s="14" t="s">
        <v>328</v>
      </c>
      <c r="C26" s="1" t="s">
        <v>798</v>
      </c>
      <c r="D26" s="1" t="s">
        <v>860</v>
      </c>
      <c r="E26" s="14" t="s">
        <v>880</v>
      </c>
      <c r="F26"/>
    </row>
    <row r="27" spans="1:6">
      <c r="A27" s="17" t="str">
        <f>DEC2HEX(INT(HEX2DEC(SUBSTITUTE('full nvm map'!$G$308,"0x",""))+HEX2DEC(E27)))&amp;"h"</f>
        <v>218h</v>
      </c>
      <c r="B27" s="14" t="s">
        <v>328</v>
      </c>
      <c r="C27" s="1" t="s">
        <v>798</v>
      </c>
      <c r="D27" s="1" t="s">
        <v>860</v>
      </c>
      <c r="E27" s="14" t="s">
        <v>881</v>
      </c>
      <c r="F27"/>
    </row>
    <row r="28" spans="1:6">
      <c r="A28" s="17" t="str">
        <f>DEC2HEX(INT(HEX2DEC(SUBSTITUTE('full nvm map'!$G$308,"0x",""))+HEX2DEC(E28)))&amp;"h"</f>
        <v>219h</v>
      </c>
      <c r="B28" s="14" t="s">
        <v>328</v>
      </c>
      <c r="C28" s="1" t="s">
        <v>798</v>
      </c>
      <c r="D28" s="1" t="s">
        <v>860</v>
      </c>
      <c r="E28" s="14" t="s">
        <v>882</v>
      </c>
      <c r="F28"/>
    </row>
    <row r="29" spans="1:6">
      <c r="A29" s="17" t="str">
        <f>DEC2HEX(INT(HEX2DEC(SUBSTITUTE('full nvm map'!$G$308,"0x",""))+HEX2DEC(E29)))&amp;"h"</f>
        <v>21Ah</v>
      </c>
      <c r="B29" s="14" t="s">
        <v>328</v>
      </c>
      <c r="C29" s="1" t="s">
        <v>798</v>
      </c>
      <c r="D29" s="1" t="s">
        <v>860</v>
      </c>
      <c r="E29" s="14" t="s">
        <v>1071</v>
      </c>
      <c r="F29"/>
    </row>
    <row r="30" spans="1:6">
      <c r="A30" s="17" t="str">
        <f>DEC2HEX(INT(HEX2DEC(SUBSTITUTE('full nvm map'!$G$308,"0x",""))+HEX2DEC(E30)))&amp;"h"</f>
        <v>21Bh</v>
      </c>
      <c r="B30" s="14" t="s">
        <v>328</v>
      </c>
      <c r="C30" s="1" t="s">
        <v>798</v>
      </c>
      <c r="D30" s="1" t="s">
        <v>860</v>
      </c>
      <c r="E30" s="14" t="s">
        <v>1072</v>
      </c>
      <c r="F30"/>
    </row>
    <row r="31" spans="1:6">
      <c r="A31" s="17" t="str">
        <f>DEC2HEX(INT(HEX2DEC(SUBSTITUTE('full nvm map'!$G$308,"0x",""))+HEX2DEC(E31)))&amp;"h"</f>
        <v>21Ch</v>
      </c>
      <c r="B31" s="14" t="s">
        <v>328</v>
      </c>
      <c r="C31" s="1" t="s">
        <v>798</v>
      </c>
      <c r="D31" s="1" t="s">
        <v>860</v>
      </c>
      <c r="E31" s="14" t="s">
        <v>1073</v>
      </c>
      <c r="F31"/>
    </row>
    <row r="32" spans="1:6">
      <c r="A32" s="17" t="str">
        <f>DEC2HEX(INT(HEX2DEC(SUBSTITUTE('full nvm map'!$G$308,"0x",""))+HEX2DEC(E32)))&amp;"h"</f>
        <v>21Dh</v>
      </c>
      <c r="B32" s="14" t="s">
        <v>328</v>
      </c>
      <c r="C32" s="1" t="s">
        <v>798</v>
      </c>
      <c r="D32" s="1" t="s">
        <v>860</v>
      </c>
      <c r="E32" s="14" t="s">
        <v>1074</v>
      </c>
      <c r="F32"/>
    </row>
    <row r="33" spans="1:6">
      <c r="A33" s="17" t="str">
        <f>DEC2HEX(INT(HEX2DEC(SUBSTITUTE('full nvm map'!$G$308,"0x",""))+HEX2DEC(E33)))&amp;"h"</f>
        <v>21Eh</v>
      </c>
      <c r="B33" s="14" t="s">
        <v>328</v>
      </c>
      <c r="C33" s="1" t="s">
        <v>798</v>
      </c>
      <c r="D33" s="1" t="s">
        <v>860</v>
      </c>
      <c r="E33" s="14" t="s">
        <v>1075</v>
      </c>
      <c r="F33"/>
    </row>
    <row r="34" spans="1:6">
      <c r="A34" s="17" t="str">
        <f>DEC2HEX(INT(HEX2DEC(SUBSTITUTE('full nvm map'!$G$308,"0x",""))+HEX2DEC(E34)))&amp;"h"</f>
        <v>21Fh</v>
      </c>
      <c r="B34" s="14" t="s">
        <v>328</v>
      </c>
      <c r="C34" s="1" t="s">
        <v>798</v>
      </c>
      <c r="D34" s="1" t="s">
        <v>860</v>
      </c>
      <c r="E34" s="14" t="s">
        <v>1076</v>
      </c>
      <c r="F34"/>
    </row>
    <row r="35" spans="1:6">
      <c r="A35" s="17" t="str">
        <f>DEC2HEX(INT(HEX2DEC(SUBSTITUTE('full nvm map'!$G$308,"0x",""))+HEX2DEC(E35)))&amp;"h"</f>
        <v>220h</v>
      </c>
      <c r="B35" s="14" t="s">
        <v>328</v>
      </c>
      <c r="C35" s="1" t="s">
        <v>798</v>
      </c>
      <c r="D35" s="1" t="s">
        <v>860</v>
      </c>
      <c r="E35" s="14" t="s">
        <v>883</v>
      </c>
      <c r="F35"/>
    </row>
    <row r="36" spans="1:6">
      <c r="A36" s="17" t="str">
        <f>DEC2HEX(INT(HEX2DEC(SUBSTITUTE('full nvm map'!$G$308,"0x",""))+HEX2DEC(E36)))&amp;"h"</f>
        <v>221h</v>
      </c>
      <c r="B36" s="14" t="s">
        <v>328</v>
      </c>
      <c r="C36" s="1" t="s">
        <v>798</v>
      </c>
      <c r="D36" s="1" t="s">
        <v>860</v>
      </c>
      <c r="E36" s="14" t="s">
        <v>884</v>
      </c>
      <c r="F36"/>
    </row>
    <row r="37" spans="1:6">
      <c r="A37" s="17" t="str">
        <f>DEC2HEX(INT(HEX2DEC(SUBSTITUTE('full nvm map'!$G$308,"0x",""))+HEX2DEC(E37)))&amp;"h"</f>
        <v>222h</v>
      </c>
      <c r="B37" s="14" t="s">
        <v>328</v>
      </c>
      <c r="C37" s="1" t="s">
        <v>798</v>
      </c>
      <c r="D37" s="1" t="s">
        <v>860</v>
      </c>
      <c r="E37" s="14" t="s">
        <v>885</v>
      </c>
      <c r="F37"/>
    </row>
    <row r="38" spans="1:6">
      <c r="A38" s="17" t="str">
        <f>DEC2HEX(INT(HEX2DEC(SUBSTITUTE('full nvm map'!$G$308,"0x",""))+HEX2DEC(E38)))&amp;"h"</f>
        <v>223h</v>
      </c>
      <c r="B38" s="14" t="s">
        <v>328</v>
      </c>
      <c r="C38" s="1" t="s">
        <v>798</v>
      </c>
      <c r="D38" s="1" t="s">
        <v>860</v>
      </c>
      <c r="E38" s="14" t="s">
        <v>886</v>
      </c>
      <c r="F38"/>
    </row>
    <row r="39" spans="1:6">
      <c r="A39" s="17" t="str">
        <f>DEC2HEX(INT(HEX2DEC(SUBSTITUTE('full nvm map'!$G$308,"0x",""))+HEX2DEC(E39)))&amp;"h"</f>
        <v>224h</v>
      </c>
      <c r="B39" s="14" t="s">
        <v>328</v>
      </c>
      <c r="C39" s="1" t="s">
        <v>798</v>
      </c>
      <c r="D39" s="1" t="s">
        <v>860</v>
      </c>
      <c r="E39" s="14" t="s">
        <v>887</v>
      </c>
      <c r="F39"/>
    </row>
    <row r="40" spans="1:6">
      <c r="A40" s="17" t="str">
        <f>DEC2HEX(INT(HEX2DEC(SUBSTITUTE('full nvm map'!$G$308,"0x",""))+HEX2DEC(E40)))&amp;"h"</f>
        <v>225h</v>
      </c>
      <c r="B40" s="14" t="s">
        <v>328</v>
      </c>
      <c r="C40" s="1" t="s">
        <v>798</v>
      </c>
      <c r="D40" s="1" t="s">
        <v>860</v>
      </c>
      <c r="E40" s="14" t="s">
        <v>888</v>
      </c>
      <c r="F40"/>
    </row>
    <row r="41" spans="1:6">
      <c r="A41" s="17" t="str">
        <f>DEC2HEX(INT(HEX2DEC(SUBSTITUTE('full nvm map'!$G$308,"0x",""))+HEX2DEC(E41)))&amp;"h"</f>
        <v>226h</v>
      </c>
      <c r="B41" s="14" t="s">
        <v>328</v>
      </c>
      <c r="C41" s="1" t="s">
        <v>798</v>
      </c>
      <c r="D41" s="1" t="s">
        <v>860</v>
      </c>
      <c r="E41" s="14" t="s">
        <v>889</v>
      </c>
      <c r="F41"/>
    </row>
    <row r="42" spans="1:6">
      <c r="A42" s="17" t="str">
        <f>DEC2HEX(INT(HEX2DEC(SUBSTITUTE('full nvm map'!$G$308,"0x",""))+HEX2DEC(E42)))&amp;"h"</f>
        <v>227h</v>
      </c>
      <c r="B42" s="14" t="s">
        <v>328</v>
      </c>
      <c r="C42" s="1" t="s">
        <v>798</v>
      </c>
      <c r="D42" s="1" t="s">
        <v>860</v>
      </c>
      <c r="E42" s="14" t="s">
        <v>890</v>
      </c>
      <c r="F42"/>
    </row>
    <row r="43" spans="1:6">
      <c r="A43" s="17" t="str">
        <f>DEC2HEX(INT(HEX2DEC(SUBSTITUTE('full nvm map'!$G$308,"0x",""))+HEX2DEC(E43)))&amp;"h"</f>
        <v>228h</v>
      </c>
      <c r="B43" s="14" t="s">
        <v>328</v>
      </c>
      <c r="C43" s="1" t="s">
        <v>798</v>
      </c>
      <c r="D43" s="1" t="s">
        <v>860</v>
      </c>
      <c r="E43" s="14" t="s">
        <v>891</v>
      </c>
      <c r="F43"/>
    </row>
    <row r="44" spans="1:6">
      <c r="A44" s="17" t="str">
        <f>DEC2HEX(INT(HEX2DEC(SUBSTITUTE('full nvm map'!$G$308,"0x",""))+HEX2DEC(E44)))&amp;"h"</f>
        <v>229h</v>
      </c>
      <c r="B44" s="14" t="s">
        <v>328</v>
      </c>
      <c r="C44" s="1" t="s">
        <v>798</v>
      </c>
      <c r="D44" s="1" t="s">
        <v>860</v>
      </c>
      <c r="E44" s="14" t="s">
        <v>892</v>
      </c>
      <c r="F44"/>
    </row>
    <row r="45" spans="1:6">
      <c r="A45" s="17" t="str">
        <f>DEC2HEX(INT(HEX2DEC(SUBSTITUTE('full nvm map'!$G$308,"0x",""))+HEX2DEC(E45)))&amp;"h"</f>
        <v>22Ah</v>
      </c>
      <c r="B45" s="14" t="s">
        <v>328</v>
      </c>
      <c r="C45" s="1" t="s">
        <v>798</v>
      </c>
      <c r="D45" s="1" t="s">
        <v>860</v>
      </c>
      <c r="E45" s="14" t="s">
        <v>1077</v>
      </c>
      <c r="F45"/>
    </row>
    <row r="46" spans="1:6">
      <c r="A46" s="17" t="str">
        <f>DEC2HEX(INT(HEX2DEC(SUBSTITUTE('full nvm map'!$G$308,"0x",""))+HEX2DEC(E46)))&amp;"h"</f>
        <v>22Bh</v>
      </c>
      <c r="B46" s="14" t="s">
        <v>328</v>
      </c>
      <c r="C46" s="1" t="s">
        <v>798</v>
      </c>
      <c r="D46" s="1" t="s">
        <v>860</v>
      </c>
      <c r="E46" s="14" t="s">
        <v>1078</v>
      </c>
      <c r="F46"/>
    </row>
    <row r="47" spans="1:6">
      <c r="A47" s="17" t="str">
        <f>DEC2HEX(INT(HEX2DEC(SUBSTITUTE('full nvm map'!$G$308,"0x",""))+HEX2DEC(E47)))&amp;"h"</f>
        <v>22Ch</v>
      </c>
      <c r="B47" s="14" t="s">
        <v>328</v>
      </c>
      <c r="C47" s="1" t="s">
        <v>798</v>
      </c>
      <c r="D47" s="1" t="s">
        <v>860</v>
      </c>
      <c r="E47" s="14" t="s">
        <v>1079</v>
      </c>
      <c r="F47"/>
    </row>
    <row r="48" spans="1:6">
      <c r="A48" s="17" t="str">
        <f>DEC2HEX(INT(HEX2DEC(SUBSTITUTE('full nvm map'!$G$308,"0x",""))+HEX2DEC(E48)))&amp;"h"</f>
        <v>22Dh</v>
      </c>
      <c r="B48" s="14" t="s">
        <v>328</v>
      </c>
      <c r="C48" s="1" t="s">
        <v>798</v>
      </c>
      <c r="D48" s="1" t="s">
        <v>860</v>
      </c>
      <c r="E48" s="14" t="s">
        <v>1080</v>
      </c>
      <c r="F48"/>
    </row>
    <row r="49" spans="1:6">
      <c r="A49" s="17" t="str">
        <f>DEC2HEX(INT(HEX2DEC(SUBSTITUTE('full nvm map'!$G$308,"0x",""))+HEX2DEC(E49)))&amp;"h"</f>
        <v>22Eh</v>
      </c>
      <c r="B49" s="14" t="s">
        <v>328</v>
      </c>
      <c r="C49" s="1" t="s">
        <v>798</v>
      </c>
      <c r="D49" s="1" t="s">
        <v>860</v>
      </c>
      <c r="E49" s="14" t="s">
        <v>1081</v>
      </c>
      <c r="F49"/>
    </row>
    <row r="50" spans="1:6">
      <c r="A50" s="17" t="str">
        <f>DEC2HEX(INT(HEX2DEC(SUBSTITUTE('full nvm map'!$G$308,"0x",""))+HEX2DEC(E50)))&amp;"h"</f>
        <v>22Fh</v>
      </c>
      <c r="B50" s="14" t="s">
        <v>328</v>
      </c>
      <c r="C50" s="1" t="s">
        <v>798</v>
      </c>
      <c r="D50" s="1" t="s">
        <v>860</v>
      </c>
      <c r="E50" s="14" t="s">
        <v>1082</v>
      </c>
      <c r="F50"/>
    </row>
    <row r="51" spans="1:6">
      <c r="A51" s="17" t="str">
        <f>DEC2HEX(INT(HEX2DEC(SUBSTITUTE('full nvm map'!$G$308,"0x",""))+HEX2DEC(E51)))&amp;"h"</f>
        <v>230h</v>
      </c>
      <c r="B51" s="14" t="s">
        <v>328</v>
      </c>
      <c r="C51" s="1" t="s">
        <v>798</v>
      </c>
      <c r="D51" s="1" t="s">
        <v>860</v>
      </c>
      <c r="E51" s="14" t="s">
        <v>893</v>
      </c>
      <c r="F51"/>
    </row>
    <row r="52" spans="1:6">
      <c r="A52" s="17" t="str">
        <f>DEC2HEX(INT(HEX2DEC(SUBSTITUTE('full nvm map'!$G$308,"0x",""))+HEX2DEC(E52)))&amp;"h"</f>
        <v>231h</v>
      </c>
      <c r="B52" s="14" t="s">
        <v>328</v>
      </c>
      <c r="C52" s="1" t="s">
        <v>798</v>
      </c>
      <c r="D52" s="1" t="s">
        <v>860</v>
      </c>
      <c r="E52" s="14" t="s">
        <v>894</v>
      </c>
      <c r="F52"/>
    </row>
    <row r="53" spans="1:6">
      <c r="A53" s="17" t="str">
        <f>DEC2HEX(INT(HEX2DEC(SUBSTITUTE('full nvm map'!$G$308,"0x",""))+HEX2DEC(E53)))&amp;"h"</f>
        <v>232h</v>
      </c>
      <c r="B53" s="14" t="s">
        <v>328</v>
      </c>
      <c r="C53" s="1" t="s">
        <v>798</v>
      </c>
      <c r="D53" s="1" t="s">
        <v>860</v>
      </c>
      <c r="E53" s="14" t="s">
        <v>895</v>
      </c>
      <c r="F53"/>
    </row>
    <row r="54" spans="1:6">
      <c r="A54" s="17" t="str">
        <f>DEC2HEX(INT(HEX2DEC(SUBSTITUTE('full nvm map'!$G$308,"0x",""))+HEX2DEC(E54)))&amp;"h"</f>
        <v>233h</v>
      </c>
      <c r="B54" s="14" t="s">
        <v>328</v>
      </c>
      <c r="C54" s="1" t="s">
        <v>798</v>
      </c>
      <c r="D54" s="1" t="s">
        <v>860</v>
      </c>
      <c r="E54" s="14" t="s">
        <v>896</v>
      </c>
      <c r="F54"/>
    </row>
    <row r="55" spans="1:6">
      <c r="A55" s="17" t="str">
        <f>DEC2HEX(INT(HEX2DEC(SUBSTITUTE('full nvm map'!$G$308,"0x",""))+HEX2DEC(E55)))&amp;"h"</f>
        <v>234h</v>
      </c>
      <c r="B55" s="14" t="s">
        <v>328</v>
      </c>
      <c r="C55" s="1" t="s">
        <v>798</v>
      </c>
      <c r="D55" s="1" t="s">
        <v>860</v>
      </c>
      <c r="E55" s="14" t="s">
        <v>897</v>
      </c>
      <c r="F55"/>
    </row>
    <row r="56" spans="1:6">
      <c r="A56" s="17" t="str">
        <f>DEC2HEX(INT(HEX2DEC(SUBSTITUTE('full nvm map'!$G$308,"0x",""))+HEX2DEC(E56)))&amp;"h"</f>
        <v>235h</v>
      </c>
      <c r="B56" s="14" t="s">
        <v>328</v>
      </c>
      <c r="C56" s="1" t="s">
        <v>798</v>
      </c>
      <c r="D56" s="1" t="s">
        <v>860</v>
      </c>
      <c r="E56" s="14" t="s">
        <v>898</v>
      </c>
      <c r="F56"/>
    </row>
    <row r="57" spans="1:6">
      <c r="A57" s="17" t="str">
        <f>DEC2HEX(INT(HEX2DEC(SUBSTITUTE('full nvm map'!$G$308,"0x",""))+HEX2DEC(E57)))&amp;"h"</f>
        <v>236h</v>
      </c>
      <c r="B57" s="14" t="s">
        <v>328</v>
      </c>
      <c r="C57" s="1" t="s">
        <v>798</v>
      </c>
      <c r="D57" s="1" t="s">
        <v>860</v>
      </c>
      <c r="E57" s="14" t="s">
        <v>899</v>
      </c>
      <c r="F57"/>
    </row>
    <row r="58" spans="1:6">
      <c r="A58" s="17" t="str">
        <f>DEC2HEX(INT(HEX2DEC(SUBSTITUTE('full nvm map'!$G$308,"0x",""))+HEX2DEC(E58)))&amp;"h"</f>
        <v>237h</v>
      </c>
      <c r="B58" s="14" t="s">
        <v>328</v>
      </c>
      <c r="C58" s="1" t="s">
        <v>798</v>
      </c>
      <c r="D58" s="1" t="s">
        <v>860</v>
      </c>
      <c r="E58" s="14" t="s">
        <v>900</v>
      </c>
      <c r="F58"/>
    </row>
    <row r="59" spans="1:6">
      <c r="A59" s="17" t="str">
        <f>DEC2HEX(INT(HEX2DEC(SUBSTITUTE('full nvm map'!$G$308,"0x",""))+HEX2DEC(E59)))&amp;"h"</f>
        <v>238h</v>
      </c>
      <c r="B59" s="14" t="s">
        <v>328</v>
      </c>
      <c r="C59" s="1" t="s">
        <v>798</v>
      </c>
      <c r="D59" s="1" t="s">
        <v>860</v>
      </c>
      <c r="E59" s="14" t="s">
        <v>901</v>
      </c>
      <c r="F59"/>
    </row>
    <row r="60" spans="1:6">
      <c r="A60" s="17" t="str">
        <f>DEC2HEX(INT(HEX2DEC(SUBSTITUTE('full nvm map'!$G$308,"0x",""))+HEX2DEC(E60)))&amp;"h"</f>
        <v>239h</v>
      </c>
      <c r="B60" s="14" t="s">
        <v>328</v>
      </c>
      <c r="C60" s="1" t="s">
        <v>798</v>
      </c>
      <c r="D60" s="1" t="s">
        <v>860</v>
      </c>
      <c r="E60" s="14" t="s">
        <v>902</v>
      </c>
      <c r="F60"/>
    </row>
    <row r="61" spans="1:6">
      <c r="A61" s="17" t="str">
        <f>DEC2HEX(INT(HEX2DEC(SUBSTITUTE('full nvm map'!$G$308,"0x",""))+HEX2DEC(E61)))&amp;"h"</f>
        <v>23Ah</v>
      </c>
      <c r="B61" s="14" t="s">
        <v>328</v>
      </c>
      <c r="C61" s="1" t="s">
        <v>798</v>
      </c>
      <c r="D61" s="1" t="s">
        <v>860</v>
      </c>
      <c r="E61" s="14" t="s">
        <v>1083</v>
      </c>
      <c r="F61"/>
    </row>
    <row r="62" spans="1:6">
      <c r="A62" s="17" t="str">
        <f>DEC2HEX(INT(HEX2DEC(SUBSTITUTE('full nvm map'!$G$308,"0x",""))+HEX2DEC(E62)))&amp;"h"</f>
        <v>23Bh</v>
      </c>
      <c r="B62" s="14" t="s">
        <v>328</v>
      </c>
      <c r="C62" s="1" t="s">
        <v>798</v>
      </c>
      <c r="D62" s="1" t="s">
        <v>860</v>
      </c>
      <c r="E62" s="14" t="s">
        <v>1084</v>
      </c>
      <c r="F62"/>
    </row>
    <row r="63" spans="1:6">
      <c r="A63" s="17" t="str">
        <f>DEC2HEX(INT(HEX2DEC(SUBSTITUTE('full nvm map'!$G$308,"0x",""))+HEX2DEC(E63)))&amp;"h"</f>
        <v>23Ch</v>
      </c>
      <c r="B63" s="14" t="s">
        <v>328</v>
      </c>
      <c r="C63" s="1" t="s">
        <v>798</v>
      </c>
      <c r="D63" s="1" t="s">
        <v>860</v>
      </c>
      <c r="E63" s="14" t="s">
        <v>1085</v>
      </c>
      <c r="F63"/>
    </row>
    <row r="64" spans="1:6">
      <c r="A64" s="17" t="str">
        <f>DEC2HEX(INT(HEX2DEC(SUBSTITUTE('full nvm map'!$G$308,"0x",""))+HEX2DEC(E64)))&amp;"h"</f>
        <v>23Dh</v>
      </c>
      <c r="B64" s="14" t="s">
        <v>328</v>
      </c>
      <c r="C64" s="1" t="s">
        <v>798</v>
      </c>
      <c r="D64" s="1" t="s">
        <v>860</v>
      </c>
      <c r="E64" s="14" t="s">
        <v>1086</v>
      </c>
      <c r="F64"/>
    </row>
    <row r="65" spans="1:6">
      <c r="A65" s="17" t="str">
        <f>DEC2HEX(INT(HEX2DEC(SUBSTITUTE('full nvm map'!$G$308,"0x",""))+HEX2DEC(E65)))&amp;"h"</f>
        <v>23Eh</v>
      </c>
      <c r="B65" s="14" t="s">
        <v>328</v>
      </c>
      <c r="C65" s="1" t="s">
        <v>798</v>
      </c>
      <c r="D65" s="1" t="s">
        <v>860</v>
      </c>
      <c r="E65" s="14" t="s">
        <v>1087</v>
      </c>
      <c r="F65"/>
    </row>
    <row r="66" spans="1:6">
      <c r="A66" s="17" t="str">
        <f>DEC2HEX(INT(HEX2DEC(SUBSTITUTE('full nvm map'!$G$308,"0x",""))+HEX2DEC(E66)))&amp;"h"</f>
        <v>23Fh</v>
      </c>
      <c r="B66" s="14" t="s">
        <v>328</v>
      </c>
      <c r="C66" s="1" t="s">
        <v>798</v>
      </c>
      <c r="D66" s="1" t="s">
        <v>860</v>
      </c>
      <c r="E66" s="14" t="s">
        <v>1088</v>
      </c>
      <c r="F66"/>
    </row>
    <row r="67" spans="1:6">
      <c r="A67" s="17" t="str">
        <f>DEC2HEX(INT(HEX2DEC(SUBSTITUTE('full nvm map'!$G$308,"0x",""))+HEX2DEC(E67)))&amp;"h"</f>
        <v>240h</v>
      </c>
      <c r="B67" s="14" t="s">
        <v>328</v>
      </c>
      <c r="C67" s="1" t="s">
        <v>798</v>
      </c>
      <c r="D67" s="1" t="s">
        <v>860</v>
      </c>
      <c r="E67" s="14" t="s">
        <v>903</v>
      </c>
      <c r="F67"/>
    </row>
    <row r="68" spans="1:6">
      <c r="A68" s="17" t="str">
        <f>DEC2HEX(INT(HEX2DEC(SUBSTITUTE('full nvm map'!$G$308,"0x",""))+HEX2DEC(E68)))&amp;"h"</f>
        <v>241h</v>
      </c>
      <c r="B68" s="14" t="s">
        <v>328</v>
      </c>
      <c r="C68" s="1" t="s">
        <v>798</v>
      </c>
      <c r="D68" s="1" t="s">
        <v>860</v>
      </c>
      <c r="E68" s="14" t="s">
        <v>904</v>
      </c>
      <c r="F68"/>
    </row>
    <row r="69" spans="1:6">
      <c r="A69" s="17" t="str">
        <f>DEC2HEX(INT(HEX2DEC(SUBSTITUTE('full nvm map'!$G$308,"0x",""))+HEX2DEC(E69)))&amp;"h"</f>
        <v>242h</v>
      </c>
      <c r="B69" s="14" t="s">
        <v>328</v>
      </c>
      <c r="C69" s="1" t="s">
        <v>798</v>
      </c>
      <c r="D69" s="1" t="s">
        <v>860</v>
      </c>
      <c r="E69" s="14" t="s">
        <v>905</v>
      </c>
      <c r="F69"/>
    </row>
    <row r="70" spans="1:6">
      <c r="A70" s="17" t="str">
        <f>DEC2HEX(INT(HEX2DEC(SUBSTITUTE('full nvm map'!$G$308,"0x",""))+HEX2DEC(E70)))&amp;"h"</f>
        <v>243h</v>
      </c>
      <c r="B70" s="14" t="s">
        <v>328</v>
      </c>
      <c r="C70" s="1" t="s">
        <v>798</v>
      </c>
      <c r="D70" s="1" t="s">
        <v>860</v>
      </c>
      <c r="E70" s="14" t="s">
        <v>906</v>
      </c>
      <c r="F70"/>
    </row>
    <row r="71" spans="1:6">
      <c r="A71" s="17" t="str">
        <f>DEC2HEX(INT(HEX2DEC(SUBSTITUTE('full nvm map'!$G$308,"0x",""))+HEX2DEC(E71)))&amp;"h"</f>
        <v>244h</v>
      </c>
      <c r="B71" s="14" t="s">
        <v>328</v>
      </c>
      <c r="C71" s="1" t="s">
        <v>798</v>
      </c>
      <c r="D71" s="1" t="s">
        <v>860</v>
      </c>
      <c r="E71" s="14" t="s">
        <v>907</v>
      </c>
      <c r="F71"/>
    </row>
    <row r="72" spans="1:6">
      <c r="A72" s="17" t="str">
        <f>DEC2HEX(INT(HEX2DEC(SUBSTITUTE('full nvm map'!$G$308,"0x",""))+HEX2DEC(E72)))&amp;"h"</f>
        <v>245h</v>
      </c>
      <c r="B72" s="14" t="s">
        <v>328</v>
      </c>
      <c r="C72" s="1" t="s">
        <v>798</v>
      </c>
      <c r="D72" s="1" t="s">
        <v>860</v>
      </c>
      <c r="E72" s="14" t="s">
        <v>908</v>
      </c>
      <c r="F72"/>
    </row>
    <row r="73" spans="1:6">
      <c r="A73" s="17" t="str">
        <f>DEC2HEX(INT(HEX2DEC(SUBSTITUTE('full nvm map'!$G$308,"0x",""))+HEX2DEC(E73)))&amp;"h"</f>
        <v>246h</v>
      </c>
      <c r="B73" s="14" t="s">
        <v>328</v>
      </c>
      <c r="C73" s="1" t="s">
        <v>798</v>
      </c>
      <c r="D73" s="1" t="s">
        <v>860</v>
      </c>
      <c r="E73" s="14" t="s">
        <v>909</v>
      </c>
      <c r="F73"/>
    </row>
    <row r="74" spans="1:6">
      <c r="A74" s="17" t="str">
        <f>DEC2HEX(INT(HEX2DEC(SUBSTITUTE('full nvm map'!$G$308,"0x",""))+HEX2DEC(E74)))&amp;"h"</f>
        <v>247h</v>
      </c>
      <c r="B74" s="14" t="s">
        <v>328</v>
      </c>
      <c r="C74" s="1" t="s">
        <v>798</v>
      </c>
      <c r="D74" s="1" t="s">
        <v>860</v>
      </c>
      <c r="E74" s="14" t="s">
        <v>910</v>
      </c>
      <c r="F74"/>
    </row>
    <row r="75" spans="1:6">
      <c r="A75" s="17" t="str">
        <f>DEC2HEX(INT(HEX2DEC(SUBSTITUTE('full nvm map'!$G$308,"0x",""))+HEX2DEC(E75)))&amp;"h"</f>
        <v>248h</v>
      </c>
      <c r="B75" s="14" t="s">
        <v>328</v>
      </c>
      <c r="C75" s="1" t="s">
        <v>798</v>
      </c>
      <c r="D75" s="1" t="s">
        <v>860</v>
      </c>
      <c r="E75" s="14" t="s">
        <v>911</v>
      </c>
      <c r="F75"/>
    </row>
    <row r="76" spans="1:6">
      <c r="A76" s="17" t="str">
        <f>DEC2HEX(INT(HEX2DEC(SUBSTITUTE('full nvm map'!$G$308,"0x",""))+HEX2DEC(E76)))&amp;"h"</f>
        <v>249h</v>
      </c>
      <c r="B76" s="14" t="s">
        <v>328</v>
      </c>
      <c r="C76" s="1" t="s">
        <v>798</v>
      </c>
      <c r="D76" s="1" t="s">
        <v>860</v>
      </c>
      <c r="E76" s="14" t="s">
        <v>912</v>
      </c>
      <c r="F76"/>
    </row>
    <row r="77" spans="1:6">
      <c r="A77" s="17" t="str">
        <f>DEC2HEX(INT(HEX2DEC(SUBSTITUTE('full nvm map'!$G$308,"0x",""))+HEX2DEC(E77)))&amp;"h"</f>
        <v>24Ah</v>
      </c>
      <c r="B77" s="14" t="s">
        <v>328</v>
      </c>
      <c r="C77" s="1" t="s">
        <v>798</v>
      </c>
      <c r="D77" s="1" t="s">
        <v>860</v>
      </c>
      <c r="E77" s="14" t="s">
        <v>1089</v>
      </c>
      <c r="F77"/>
    </row>
    <row r="78" spans="1:6">
      <c r="A78" s="17" t="str">
        <f>DEC2HEX(INT(HEX2DEC(SUBSTITUTE('full nvm map'!$G$308,"0x",""))+HEX2DEC(E78)))&amp;"h"</f>
        <v>24Bh</v>
      </c>
      <c r="B78" s="14" t="s">
        <v>328</v>
      </c>
      <c r="C78" s="1" t="s">
        <v>798</v>
      </c>
      <c r="D78" s="1" t="s">
        <v>860</v>
      </c>
      <c r="E78" s="14" t="s">
        <v>1090</v>
      </c>
      <c r="F78"/>
    </row>
    <row r="79" spans="1:6">
      <c r="A79" s="17" t="str">
        <f>DEC2HEX(INT(HEX2DEC(SUBSTITUTE('full nvm map'!$G$308,"0x",""))+HEX2DEC(E79)))&amp;"h"</f>
        <v>24Ch</v>
      </c>
      <c r="B79" s="14" t="s">
        <v>328</v>
      </c>
      <c r="C79" s="1" t="s">
        <v>798</v>
      </c>
      <c r="D79" s="1" t="s">
        <v>860</v>
      </c>
      <c r="E79" s="14" t="s">
        <v>1091</v>
      </c>
      <c r="F79"/>
    </row>
    <row r="80" spans="1:6">
      <c r="A80" s="17" t="str">
        <f>DEC2HEX(INT(HEX2DEC(SUBSTITUTE('full nvm map'!$G$308,"0x",""))+HEX2DEC(E80)))&amp;"h"</f>
        <v>24Dh</v>
      </c>
      <c r="B80" s="14" t="s">
        <v>328</v>
      </c>
      <c r="C80" s="1" t="s">
        <v>798</v>
      </c>
      <c r="D80" s="1" t="s">
        <v>860</v>
      </c>
      <c r="E80" s="14" t="s">
        <v>1092</v>
      </c>
      <c r="F80"/>
    </row>
    <row r="81" spans="1:6">
      <c r="A81" s="17" t="str">
        <f>DEC2HEX(INT(HEX2DEC(SUBSTITUTE('full nvm map'!$G$308,"0x",""))+HEX2DEC(E81)))&amp;"h"</f>
        <v>24Eh</v>
      </c>
      <c r="B81" s="14" t="s">
        <v>328</v>
      </c>
      <c r="C81" s="1" t="s">
        <v>798</v>
      </c>
      <c r="D81" s="1" t="s">
        <v>860</v>
      </c>
      <c r="E81" s="14" t="s">
        <v>1093</v>
      </c>
      <c r="F81"/>
    </row>
    <row r="82" spans="1:6">
      <c r="A82" s="17" t="str">
        <f>DEC2HEX(INT(HEX2DEC(SUBSTITUTE('full nvm map'!$G$308,"0x",""))+HEX2DEC(E82)))&amp;"h"</f>
        <v>24Fh</v>
      </c>
      <c r="B82" s="14" t="s">
        <v>328</v>
      </c>
      <c r="C82" s="1" t="s">
        <v>798</v>
      </c>
      <c r="D82" s="1" t="s">
        <v>860</v>
      </c>
      <c r="E82" s="14" t="s">
        <v>1094</v>
      </c>
      <c r="F82"/>
    </row>
    <row r="83" spans="1:6">
      <c r="A83" s="17" t="str">
        <f>DEC2HEX(INT(HEX2DEC(SUBSTITUTE('full nvm map'!$G$308,"0x",""))+HEX2DEC(E83)))&amp;"h"</f>
        <v>250h</v>
      </c>
      <c r="B83" s="14" t="s">
        <v>328</v>
      </c>
      <c r="C83" s="1" t="s">
        <v>798</v>
      </c>
      <c r="D83" s="1" t="s">
        <v>860</v>
      </c>
      <c r="E83" s="14" t="s">
        <v>913</v>
      </c>
      <c r="F83"/>
    </row>
    <row r="84" spans="1:6">
      <c r="A84" s="17" t="str">
        <f>DEC2HEX(INT(HEX2DEC(SUBSTITUTE('full nvm map'!$G$308,"0x",""))+HEX2DEC(E84)))&amp;"h"</f>
        <v>251h</v>
      </c>
      <c r="B84" s="14" t="s">
        <v>328</v>
      </c>
      <c r="C84" s="1" t="s">
        <v>798</v>
      </c>
      <c r="D84" s="1" t="s">
        <v>860</v>
      </c>
      <c r="E84" s="14" t="s">
        <v>914</v>
      </c>
      <c r="F84"/>
    </row>
    <row r="85" spans="1:6">
      <c r="A85" s="17" t="str">
        <f>DEC2HEX(INT(HEX2DEC(SUBSTITUTE('full nvm map'!$G$308,"0x",""))+HEX2DEC(E85)))&amp;"h"</f>
        <v>252h</v>
      </c>
      <c r="B85" s="14" t="s">
        <v>328</v>
      </c>
      <c r="C85" s="1" t="s">
        <v>798</v>
      </c>
      <c r="D85" s="1" t="s">
        <v>860</v>
      </c>
      <c r="E85" s="14" t="s">
        <v>915</v>
      </c>
      <c r="F85"/>
    </row>
    <row r="86" spans="1:6">
      <c r="A86" s="17" t="str">
        <f>DEC2HEX(INT(HEX2DEC(SUBSTITUTE('full nvm map'!$G$308,"0x",""))+HEX2DEC(E86)))&amp;"h"</f>
        <v>253h</v>
      </c>
      <c r="B86" s="14" t="s">
        <v>328</v>
      </c>
      <c r="C86" s="1" t="s">
        <v>798</v>
      </c>
      <c r="D86" s="1" t="s">
        <v>860</v>
      </c>
      <c r="E86" s="14" t="s">
        <v>916</v>
      </c>
      <c r="F86"/>
    </row>
    <row r="87" spans="1:6">
      <c r="A87" s="17" t="str">
        <f>DEC2HEX(INT(HEX2DEC(SUBSTITUTE('full nvm map'!$G$308,"0x",""))+HEX2DEC(E87)))&amp;"h"</f>
        <v>254h</v>
      </c>
      <c r="B87" s="14" t="s">
        <v>328</v>
      </c>
      <c r="C87" s="1" t="s">
        <v>798</v>
      </c>
      <c r="D87" s="1" t="s">
        <v>860</v>
      </c>
      <c r="E87" s="14" t="s">
        <v>917</v>
      </c>
      <c r="F87"/>
    </row>
    <row r="88" spans="1:6">
      <c r="A88" s="17" t="str">
        <f>DEC2HEX(INT(HEX2DEC(SUBSTITUTE('full nvm map'!$G$308,"0x",""))+HEX2DEC(E88)))&amp;"h"</f>
        <v>255h</v>
      </c>
      <c r="B88" s="14" t="s">
        <v>328</v>
      </c>
      <c r="C88" s="1" t="s">
        <v>798</v>
      </c>
      <c r="D88" s="1" t="s">
        <v>860</v>
      </c>
      <c r="E88" s="14" t="s">
        <v>918</v>
      </c>
      <c r="F88"/>
    </row>
    <row r="89" spans="1:6">
      <c r="A89" s="17" t="str">
        <f>DEC2HEX(INT(HEX2DEC(SUBSTITUTE('full nvm map'!$G$308,"0x",""))+HEX2DEC(E89)))&amp;"h"</f>
        <v>256h</v>
      </c>
      <c r="B89" s="14" t="s">
        <v>328</v>
      </c>
      <c r="C89" s="1" t="s">
        <v>798</v>
      </c>
      <c r="D89" s="1" t="s">
        <v>860</v>
      </c>
      <c r="E89" s="14" t="s">
        <v>919</v>
      </c>
      <c r="F89"/>
    </row>
    <row r="90" spans="1:6">
      <c r="A90" s="17" t="str">
        <f>DEC2HEX(INT(HEX2DEC(SUBSTITUTE('full nvm map'!$G$308,"0x",""))+HEX2DEC(E90)))&amp;"h"</f>
        <v>257h</v>
      </c>
      <c r="B90" s="14" t="s">
        <v>328</v>
      </c>
      <c r="C90" s="1" t="s">
        <v>798</v>
      </c>
      <c r="D90" s="1" t="s">
        <v>860</v>
      </c>
      <c r="E90" s="14" t="s">
        <v>920</v>
      </c>
      <c r="F90"/>
    </row>
    <row r="91" spans="1:6">
      <c r="A91" s="17" t="str">
        <f>DEC2HEX(INT(HEX2DEC(SUBSTITUTE('full nvm map'!$G$308,"0x",""))+HEX2DEC(E91)))&amp;"h"</f>
        <v>258h</v>
      </c>
      <c r="B91" s="14" t="s">
        <v>328</v>
      </c>
      <c r="C91" s="1" t="s">
        <v>798</v>
      </c>
      <c r="D91" s="1" t="s">
        <v>860</v>
      </c>
      <c r="E91" s="14" t="s">
        <v>921</v>
      </c>
      <c r="F91"/>
    </row>
    <row r="92" spans="1:6">
      <c r="A92" s="17" t="str">
        <f>DEC2HEX(INT(HEX2DEC(SUBSTITUTE('full nvm map'!$G$308,"0x",""))+HEX2DEC(E92)))&amp;"h"</f>
        <v>259h</v>
      </c>
      <c r="B92" s="14" t="s">
        <v>328</v>
      </c>
      <c r="C92" s="1" t="s">
        <v>798</v>
      </c>
      <c r="D92" s="1" t="s">
        <v>860</v>
      </c>
      <c r="E92" s="14" t="s">
        <v>922</v>
      </c>
      <c r="F92"/>
    </row>
    <row r="93" spans="1:6">
      <c r="A93" s="17" t="str">
        <f>DEC2HEX(INT(HEX2DEC(SUBSTITUTE('full nvm map'!$G$308,"0x",""))+HEX2DEC(E93)))&amp;"h"</f>
        <v>25Ah</v>
      </c>
      <c r="B93" s="14" t="s">
        <v>328</v>
      </c>
      <c r="C93" s="1" t="s">
        <v>798</v>
      </c>
      <c r="D93" s="1" t="s">
        <v>860</v>
      </c>
      <c r="E93" s="14" t="s">
        <v>1095</v>
      </c>
      <c r="F93"/>
    </row>
    <row r="94" spans="1:6">
      <c r="A94" s="17" t="str">
        <f>DEC2HEX(INT(HEX2DEC(SUBSTITUTE('full nvm map'!$G$308,"0x",""))+HEX2DEC(E94)))&amp;"h"</f>
        <v>25Bh</v>
      </c>
      <c r="B94" s="14" t="s">
        <v>328</v>
      </c>
      <c r="C94" s="1" t="s">
        <v>798</v>
      </c>
      <c r="D94" s="1" t="s">
        <v>860</v>
      </c>
      <c r="E94" s="14" t="s">
        <v>1096</v>
      </c>
      <c r="F94"/>
    </row>
    <row r="95" spans="1:6">
      <c r="A95" s="17" t="str">
        <f>DEC2HEX(INT(HEX2DEC(SUBSTITUTE('full nvm map'!$G$308,"0x",""))+HEX2DEC(E95)))&amp;"h"</f>
        <v>25Ch</v>
      </c>
      <c r="B95" s="14" t="s">
        <v>328</v>
      </c>
      <c r="C95" s="1" t="s">
        <v>798</v>
      </c>
      <c r="D95" s="1" t="s">
        <v>860</v>
      </c>
      <c r="E95" s="14" t="s">
        <v>1097</v>
      </c>
      <c r="F95"/>
    </row>
    <row r="96" spans="1:6">
      <c r="A96" s="17" t="str">
        <f>DEC2HEX(INT(HEX2DEC(SUBSTITUTE('full nvm map'!$G$308,"0x",""))+HEX2DEC(E96)))&amp;"h"</f>
        <v>25Dh</v>
      </c>
      <c r="B96" s="14" t="s">
        <v>328</v>
      </c>
      <c r="C96" s="1" t="s">
        <v>798</v>
      </c>
      <c r="D96" s="1" t="s">
        <v>860</v>
      </c>
      <c r="E96" s="14" t="s">
        <v>1098</v>
      </c>
      <c r="F96"/>
    </row>
    <row r="97" spans="1:6">
      <c r="A97" s="17" t="str">
        <f>DEC2HEX(INT(HEX2DEC(SUBSTITUTE('full nvm map'!$G$308,"0x",""))+HEX2DEC(E97)))&amp;"h"</f>
        <v>25Eh</v>
      </c>
      <c r="B97" s="14" t="s">
        <v>328</v>
      </c>
      <c r="C97" s="1" t="s">
        <v>798</v>
      </c>
      <c r="D97" s="1" t="s">
        <v>860</v>
      </c>
      <c r="E97" s="14" t="s">
        <v>1099</v>
      </c>
      <c r="F97"/>
    </row>
    <row r="98" spans="1:6">
      <c r="A98" s="17" t="str">
        <f>DEC2HEX(INT(HEX2DEC(SUBSTITUTE('full nvm map'!$G$308,"0x",""))+HEX2DEC(E98)))&amp;"h"</f>
        <v>25Fh</v>
      </c>
      <c r="B98" s="14" t="s">
        <v>328</v>
      </c>
      <c r="C98" s="1" t="s">
        <v>798</v>
      </c>
      <c r="D98" s="1" t="s">
        <v>860</v>
      </c>
      <c r="E98" s="14" t="s">
        <v>1100</v>
      </c>
      <c r="F98"/>
    </row>
    <row r="99" spans="1:6">
      <c r="A99" s="17" t="str">
        <f>DEC2HEX(INT(HEX2DEC(SUBSTITUTE('full nvm map'!$G$308,"0x",""))+HEX2DEC(E99)))&amp;"h"</f>
        <v>260h</v>
      </c>
      <c r="B99" s="14" t="s">
        <v>328</v>
      </c>
      <c r="C99" s="1" t="s">
        <v>798</v>
      </c>
      <c r="D99" s="1" t="s">
        <v>860</v>
      </c>
      <c r="E99" s="14" t="s">
        <v>923</v>
      </c>
      <c r="F99"/>
    </row>
    <row r="100" spans="1:6">
      <c r="A100" s="17" t="str">
        <f>DEC2HEX(INT(HEX2DEC(SUBSTITUTE('full nvm map'!$G$308,"0x",""))+HEX2DEC(E100)))&amp;"h"</f>
        <v>261h</v>
      </c>
      <c r="B100" s="14" t="s">
        <v>328</v>
      </c>
      <c r="C100" s="1" t="s">
        <v>798</v>
      </c>
      <c r="D100" s="1" t="s">
        <v>860</v>
      </c>
      <c r="E100" s="14" t="s">
        <v>924</v>
      </c>
      <c r="F100"/>
    </row>
    <row r="101" spans="1:6">
      <c r="A101" s="17" t="str">
        <f>DEC2HEX(INT(HEX2DEC(SUBSTITUTE('full nvm map'!$G$308,"0x",""))+HEX2DEC(E101)))&amp;"h"</f>
        <v>262h</v>
      </c>
      <c r="B101" s="14" t="s">
        <v>328</v>
      </c>
      <c r="C101" s="1" t="s">
        <v>798</v>
      </c>
      <c r="D101" s="1" t="s">
        <v>860</v>
      </c>
      <c r="E101" s="14" t="s">
        <v>925</v>
      </c>
      <c r="F101"/>
    </row>
    <row r="102" spans="1:6">
      <c r="A102" s="17" t="str">
        <f>DEC2HEX(INT(HEX2DEC(SUBSTITUTE('full nvm map'!$G$308,"0x",""))+HEX2DEC(E102)))&amp;"h"</f>
        <v>263h</v>
      </c>
      <c r="B102" s="14" t="s">
        <v>328</v>
      </c>
      <c r="C102" s="1" t="s">
        <v>798</v>
      </c>
      <c r="D102" s="1" t="s">
        <v>860</v>
      </c>
      <c r="E102" s="14" t="s">
        <v>926</v>
      </c>
      <c r="F102"/>
    </row>
    <row r="103" spans="1:6">
      <c r="A103" s="17" t="str">
        <f>DEC2HEX(INT(HEX2DEC(SUBSTITUTE('full nvm map'!$G$308,"0x",""))+HEX2DEC(E103)))&amp;"h"</f>
        <v>264h</v>
      </c>
      <c r="B103" s="14" t="s">
        <v>328</v>
      </c>
      <c r="C103" s="1" t="s">
        <v>798</v>
      </c>
      <c r="D103" s="1" t="s">
        <v>860</v>
      </c>
      <c r="E103" s="14" t="s">
        <v>927</v>
      </c>
      <c r="F103"/>
    </row>
    <row r="104" spans="1:6">
      <c r="A104" s="17" t="str">
        <f>DEC2HEX(INT(HEX2DEC(SUBSTITUTE('full nvm map'!$G$308,"0x",""))+HEX2DEC(E104)))&amp;"h"</f>
        <v>265h</v>
      </c>
      <c r="B104" s="14" t="s">
        <v>328</v>
      </c>
      <c r="C104" s="1" t="s">
        <v>798</v>
      </c>
      <c r="D104" s="1" t="s">
        <v>860</v>
      </c>
      <c r="E104" s="14" t="s">
        <v>928</v>
      </c>
      <c r="F104"/>
    </row>
    <row r="105" spans="1:6">
      <c r="A105" s="17" t="str">
        <f>DEC2HEX(INT(HEX2DEC(SUBSTITUTE('full nvm map'!$G$308,"0x",""))+HEX2DEC(E105)))&amp;"h"</f>
        <v>266h</v>
      </c>
      <c r="B105" s="14" t="s">
        <v>328</v>
      </c>
      <c r="C105" s="1" t="s">
        <v>798</v>
      </c>
      <c r="D105" s="1" t="s">
        <v>860</v>
      </c>
      <c r="E105" s="14" t="s">
        <v>929</v>
      </c>
      <c r="F105"/>
    </row>
    <row r="106" spans="1:6">
      <c r="A106" s="17" t="str">
        <f>DEC2HEX(INT(HEX2DEC(SUBSTITUTE('full nvm map'!$G$308,"0x",""))+HEX2DEC(E106)))&amp;"h"</f>
        <v>267h</v>
      </c>
      <c r="B106" s="14" t="s">
        <v>328</v>
      </c>
      <c r="C106" s="1" t="s">
        <v>798</v>
      </c>
      <c r="D106" s="1" t="s">
        <v>860</v>
      </c>
      <c r="E106" s="14" t="s">
        <v>930</v>
      </c>
      <c r="F106"/>
    </row>
    <row r="107" spans="1:6">
      <c r="A107" s="17" t="str">
        <f>DEC2HEX(INT(HEX2DEC(SUBSTITUTE('full nvm map'!$G$308,"0x",""))+HEX2DEC(E107)))&amp;"h"</f>
        <v>268h</v>
      </c>
      <c r="B107" s="14" t="s">
        <v>328</v>
      </c>
      <c r="C107" s="1" t="s">
        <v>798</v>
      </c>
      <c r="D107" s="1" t="s">
        <v>860</v>
      </c>
      <c r="E107" s="14" t="s">
        <v>931</v>
      </c>
      <c r="F107"/>
    </row>
    <row r="108" spans="1:6">
      <c r="A108" s="17" t="str">
        <f>DEC2HEX(INT(HEX2DEC(SUBSTITUTE('full nvm map'!$G$308,"0x",""))+HEX2DEC(E108)))&amp;"h"</f>
        <v>269h</v>
      </c>
      <c r="B108" s="14" t="s">
        <v>328</v>
      </c>
      <c r="C108" s="1" t="s">
        <v>798</v>
      </c>
      <c r="D108" s="1" t="s">
        <v>860</v>
      </c>
      <c r="E108" s="14" t="s">
        <v>932</v>
      </c>
      <c r="F108"/>
    </row>
    <row r="109" spans="1:6">
      <c r="A109" s="17" t="str">
        <f>DEC2HEX(INT(HEX2DEC(SUBSTITUTE('full nvm map'!$G$308,"0x",""))+HEX2DEC(E109)))&amp;"h"</f>
        <v>26Ah</v>
      </c>
      <c r="B109" s="14" t="s">
        <v>328</v>
      </c>
      <c r="C109" s="1" t="s">
        <v>798</v>
      </c>
      <c r="D109" s="1" t="s">
        <v>860</v>
      </c>
      <c r="E109" s="14" t="s">
        <v>1101</v>
      </c>
      <c r="F109"/>
    </row>
    <row r="110" spans="1:6">
      <c r="A110" s="17" t="str">
        <f>DEC2HEX(INT(HEX2DEC(SUBSTITUTE('full nvm map'!$G$308,"0x",""))+HEX2DEC(E110)))&amp;"h"</f>
        <v>26Bh</v>
      </c>
      <c r="B110" s="14" t="s">
        <v>328</v>
      </c>
      <c r="C110" s="1" t="s">
        <v>798</v>
      </c>
      <c r="D110" s="1" t="s">
        <v>860</v>
      </c>
      <c r="E110" s="14" t="s">
        <v>1102</v>
      </c>
      <c r="F110"/>
    </row>
    <row r="111" spans="1:6">
      <c r="A111" s="17" t="str">
        <f>DEC2HEX(INT(HEX2DEC(SUBSTITUTE('full nvm map'!$G$308,"0x",""))+HEX2DEC(E111)))&amp;"h"</f>
        <v>26Ch</v>
      </c>
      <c r="B111" s="14" t="s">
        <v>328</v>
      </c>
      <c r="C111" s="1" t="s">
        <v>798</v>
      </c>
      <c r="D111" s="1" t="s">
        <v>860</v>
      </c>
      <c r="E111" s="14" t="s">
        <v>1103</v>
      </c>
      <c r="F111"/>
    </row>
    <row r="112" spans="1:6">
      <c r="A112" s="17" t="str">
        <f>DEC2HEX(INT(HEX2DEC(SUBSTITUTE('full nvm map'!$G$308,"0x",""))+HEX2DEC(E112)))&amp;"h"</f>
        <v>26Dh</v>
      </c>
      <c r="B112" s="14" t="s">
        <v>328</v>
      </c>
      <c r="C112" s="1" t="s">
        <v>798</v>
      </c>
      <c r="D112" s="1" t="s">
        <v>860</v>
      </c>
      <c r="E112" s="14" t="s">
        <v>1104</v>
      </c>
      <c r="F112"/>
    </row>
    <row r="113" spans="1:6">
      <c r="A113" s="17" t="str">
        <f>DEC2HEX(INT(HEX2DEC(SUBSTITUTE('full nvm map'!$G$308,"0x",""))+HEX2DEC(E113)))&amp;"h"</f>
        <v>26Eh</v>
      </c>
      <c r="B113" s="14" t="s">
        <v>328</v>
      </c>
      <c r="C113" s="1" t="s">
        <v>798</v>
      </c>
      <c r="D113" s="1" t="s">
        <v>860</v>
      </c>
      <c r="E113" s="14" t="s">
        <v>1105</v>
      </c>
      <c r="F113"/>
    </row>
    <row r="114" spans="1:6">
      <c r="A114" s="17" t="str">
        <f>DEC2HEX(INT(HEX2DEC(SUBSTITUTE('full nvm map'!$G$308,"0x",""))+HEX2DEC(E114)))&amp;"h"</f>
        <v>26Fh</v>
      </c>
      <c r="B114" s="14" t="s">
        <v>328</v>
      </c>
      <c r="C114" s="1" t="s">
        <v>798</v>
      </c>
      <c r="D114" s="1" t="s">
        <v>860</v>
      </c>
      <c r="E114" s="14" t="s">
        <v>1106</v>
      </c>
      <c r="F114"/>
    </row>
    <row r="115" spans="1:6">
      <c r="A115" s="17" t="str">
        <f>DEC2HEX(INT(HEX2DEC(SUBSTITUTE('full nvm map'!$G$308,"0x",""))+HEX2DEC(E115)))&amp;"h"</f>
        <v>270h</v>
      </c>
      <c r="B115" s="14" t="s">
        <v>328</v>
      </c>
      <c r="C115" s="1" t="s">
        <v>798</v>
      </c>
      <c r="D115" s="1" t="s">
        <v>860</v>
      </c>
      <c r="E115" s="14" t="s">
        <v>933</v>
      </c>
      <c r="F115"/>
    </row>
    <row r="116" spans="1:6">
      <c r="A116" s="17" t="str">
        <f>DEC2HEX(INT(HEX2DEC(SUBSTITUTE('full nvm map'!$G$308,"0x",""))+HEX2DEC(E116)))&amp;"h"</f>
        <v>271h</v>
      </c>
      <c r="B116" s="14" t="s">
        <v>328</v>
      </c>
      <c r="C116" s="1" t="s">
        <v>798</v>
      </c>
      <c r="D116" s="1" t="s">
        <v>860</v>
      </c>
      <c r="E116" s="14" t="s">
        <v>934</v>
      </c>
      <c r="F116"/>
    </row>
    <row r="117" spans="1:6">
      <c r="A117" s="17" t="str">
        <f>DEC2HEX(INT(HEX2DEC(SUBSTITUTE('full nvm map'!$G$308,"0x",""))+HEX2DEC(E117)))&amp;"h"</f>
        <v>272h</v>
      </c>
      <c r="B117" s="14" t="s">
        <v>328</v>
      </c>
      <c r="C117" s="1" t="s">
        <v>798</v>
      </c>
      <c r="D117" s="1" t="s">
        <v>860</v>
      </c>
      <c r="E117" s="14" t="s">
        <v>935</v>
      </c>
      <c r="F117"/>
    </row>
    <row r="118" spans="1:6">
      <c r="A118" s="17" t="str">
        <f>DEC2HEX(INT(HEX2DEC(SUBSTITUTE('full nvm map'!$G$308,"0x",""))+HEX2DEC(E118)))&amp;"h"</f>
        <v>273h</v>
      </c>
      <c r="B118" s="14" t="s">
        <v>328</v>
      </c>
      <c r="C118" s="1" t="s">
        <v>798</v>
      </c>
      <c r="D118" s="1" t="s">
        <v>860</v>
      </c>
      <c r="E118" s="14" t="s">
        <v>936</v>
      </c>
      <c r="F118"/>
    </row>
    <row r="119" spans="1:6">
      <c r="A119" s="17" t="str">
        <f>DEC2HEX(INT(HEX2DEC(SUBSTITUTE('full nvm map'!$G$308,"0x",""))+HEX2DEC(E119)))&amp;"h"</f>
        <v>274h</v>
      </c>
      <c r="B119" s="14" t="s">
        <v>328</v>
      </c>
      <c r="C119" s="1" t="s">
        <v>798</v>
      </c>
      <c r="D119" s="1" t="s">
        <v>860</v>
      </c>
      <c r="E119" s="14" t="s">
        <v>937</v>
      </c>
      <c r="F119"/>
    </row>
    <row r="120" spans="1:6">
      <c r="A120" s="17" t="str">
        <f>DEC2HEX(INT(HEX2DEC(SUBSTITUTE('full nvm map'!$G$308,"0x",""))+HEX2DEC(E120)))&amp;"h"</f>
        <v>275h</v>
      </c>
      <c r="B120" s="14" t="s">
        <v>328</v>
      </c>
      <c r="C120" s="1" t="s">
        <v>798</v>
      </c>
      <c r="D120" s="1" t="s">
        <v>860</v>
      </c>
      <c r="E120" s="14" t="s">
        <v>938</v>
      </c>
      <c r="F120"/>
    </row>
    <row r="121" spans="1:6">
      <c r="A121" s="17" t="str">
        <f>DEC2HEX(INT(HEX2DEC(SUBSTITUTE('full nvm map'!$G$308,"0x",""))+HEX2DEC(E121)))&amp;"h"</f>
        <v>276h</v>
      </c>
      <c r="B121" s="14" t="s">
        <v>328</v>
      </c>
      <c r="C121" s="1" t="s">
        <v>798</v>
      </c>
      <c r="D121" s="1" t="s">
        <v>860</v>
      </c>
      <c r="E121" s="14" t="s">
        <v>939</v>
      </c>
      <c r="F121"/>
    </row>
    <row r="122" spans="1:6">
      <c r="A122" s="17" t="str">
        <f>DEC2HEX(INT(HEX2DEC(SUBSTITUTE('full nvm map'!$G$308,"0x",""))+HEX2DEC(E122)))&amp;"h"</f>
        <v>277h</v>
      </c>
      <c r="B122" s="14" t="s">
        <v>328</v>
      </c>
      <c r="C122" s="1" t="s">
        <v>798</v>
      </c>
      <c r="D122" s="1" t="s">
        <v>860</v>
      </c>
      <c r="E122" s="14" t="s">
        <v>940</v>
      </c>
      <c r="F122"/>
    </row>
    <row r="123" spans="1:6">
      <c r="A123" s="17" t="str">
        <f>DEC2HEX(INT(HEX2DEC(SUBSTITUTE('full nvm map'!$G$308,"0x",""))+HEX2DEC(E123)))&amp;"h"</f>
        <v>278h</v>
      </c>
      <c r="B123" s="14" t="s">
        <v>328</v>
      </c>
      <c r="C123" s="1" t="s">
        <v>798</v>
      </c>
      <c r="D123" s="1" t="s">
        <v>860</v>
      </c>
      <c r="E123" s="14" t="s">
        <v>941</v>
      </c>
      <c r="F123"/>
    </row>
    <row r="124" spans="1:6">
      <c r="A124" s="17" t="str">
        <f>DEC2HEX(INT(HEX2DEC(SUBSTITUTE('full nvm map'!$G$308,"0x",""))+HEX2DEC(E124)))&amp;"h"</f>
        <v>279h</v>
      </c>
      <c r="B124" s="14" t="s">
        <v>328</v>
      </c>
      <c r="C124" s="1" t="s">
        <v>798</v>
      </c>
      <c r="D124" s="1" t="s">
        <v>860</v>
      </c>
      <c r="E124" s="14" t="s">
        <v>942</v>
      </c>
      <c r="F124"/>
    </row>
    <row r="125" spans="1:6">
      <c r="A125" s="17" t="str">
        <f>DEC2HEX(INT(HEX2DEC(SUBSTITUTE('full nvm map'!$G$308,"0x",""))+HEX2DEC(E125)))&amp;"h"</f>
        <v>27Ah</v>
      </c>
      <c r="B125" s="14" t="s">
        <v>328</v>
      </c>
      <c r="C125" s="1" t="s">
        <v>798</v>
      </c>
      <c r="D125" s="1" t="s">
        <v>860</v>
      </c>
      <c r="E125" s="14" t="s">
        <v>1107</v>
      </c>
      <c r="F125"/>
    </row>
    <row r="126" spans="1:6">
      <c r="A126" s="17" t="str">
        <f>DEC2HEX(INT(HEX2DEC(SUBSTITUTE('full nvm map'!$G$308,"0x",""))+HEX2DEC(E126)))&amp;"h"</f>
        <v>27Bh</v>
      </c>
      <c r="B126" s="14" t="s">
        <v>328</v>
      </c>
      <c r="C126" s="1" t="s">
        <v>798</v>
      </c>
      <c r="D126" s="1" t="s">
        <v>860</v>
      </c>
      <c r="E126" s="14" t="s">
        <v>1108</v>
      </c>
      <c r="F126"/>
    </row>
    <row r="127" spans="1:6">
      <c r="A127" s="17" t="str">
        <f>DEC2HEX(INT(HEX2DEC(SUBSTITUTE('full nvm map'!$G$308,"0x",""))+HEX2DEC(E127)))&amp;"h"</f>
        <v>27Ch</v>
      </c>
      <c r="B127" s="14" t="s">
        <v>328</v>
      </c>
      <c r="C127" s="1" t="s">
        <v>798</v>
      </c>
      <c r="D127" s="1" t="s">
        <v>860</v>
      </c>
      <c r="E127" s="14" t="s">
        <v>1109</v>
      </c>
      <c r="F127"/>
    </row>
    <row r="128" spans="1:6">
      <c r="A128" s="17" t="str">
        <f>DEC2HEX(INT(HEX2DEC(SUBSTITUTE('full nvm map'!$G$308,"0x",""))+HEX2DEC(E128)))&amp;"h"</f>
        <v>27Dh</v>
      </c>
      <c r="B128" s="14" t="s">
        <v>328</v>
      </c>
      <c r="C128" s="1" t="s">
        <v>798</v>
      </c>
      <c r="D128" s="1" t="s">
        <v>860</v>
      </c>
      <c r="E128" s="14" t="s">
        <v>1110</v>
      </c>
      <c r="F128"/>
    </row>
    <row r="129" spans="1:6">
      <c r="A129" s="17" t="str">
        <f>DEC2HEX(INT(HEX2DEC(SUBSTITUTE('full nvm map'!$G$308,"0x",""))+HEX2DEC(E129)))&amp;"h"</f>
        <v>27Eh</v>
      </c>
      <c r="B129" s="14" t="s">
        <v>328</v>
      </c>
      <c r="C129" s="1" t="s">
        <v>798</v>
      </c>
      <c r="D129" s="1" t="s">
        <v>860</v>
      </c>
      <c r="E129" s="14" t="s">
        <v>1111</v>
      </c>
      <c r="F129"/>
    </row>
    <row r="130" spans="1:6">
      <c r="A130" s="17" t="str">
        <f>DEC2HEX(INT(HEX2DEC(SUBSTITUTE('full nvm map'!$G$308,"0x",""))+HEX2DEC(E130)))&amp;"h"</f>
        <v>27Fh</v>
      </c>
      <c r="B130" s="14" t="s">
        <v>328</v>
      </c>
      <c r="C130" s="1" t="s">
        <v>798</v>
      </c>
      <c r="D130" s="1" t="s">
        <v>860</v>
      </c>
      <c r="E130" s="14" t="s">
        <v>1112</v>
      </c>
      <c r="F130"/>
    </row>
    <row r="131" spans="1:6">
      <c r="A131" s="17" t="str">
        <f>DEC2HEX(INT(HEX2DEC(SUBSTITUTE('full nvm map'!$G$308,"0x",""))+HEX2DEC(E131)))&amp;"h"</f>
        <v>280h</v>
      </c>
      <c r="B131" s="14" t="s">
        <v>328</v>
      </c>
      <c r="C131" s="1" t="s">
        <v>798</v>
      </c>
      <c r="D131" s="1" t="s">
        <v>860</v>
      </c>
      <c r="E131" s="14" t="s">
        <v>943</v>
      </c>
      <c r="F131"/>
    </row>
    <row r="132" spans="1:6">
      <c r="A132" s="17" t="str">
        <f>DEC2HEX(INT(HEX2DEC(SUBSTITUTE('full nvm map'!$G$308,"0x",""))+HEX2DEC(E132)))&amp;"h"</f>
        <v>281h</v>
      </c>
      <c r="B132" s="14" t="s">
        <v>328</v>
      </c>
      <c r="C132" s="1" t="s">
        <v>798</v>
      </c>
      <c r="D132" s="1" t="s">
        <v>860</v>
      </c>
      <c r="E132" s="14" t="s">
        <v>944</v>
      </c>
      <c r="F132"/>
    </row>
    <row r="133" spans="1:6">
      <c r="A133" s="17" t="str">
        <f>DEC2HEX(INT(HEX2DEC(SUBSTITUTE('full nvm map'!$G$308,"0x",""))+HEX2DEC(E133)))&amp;"h"</f>
        <v>282h</v>
      </c>
      <c r="B133" s="14" t="s">
        <v>328</v>
      </c>
      <c r="C133" s="1" t="s">
        <v>798</v>
      </c>
      <c r="D133" s="1" t="s">
        <v>860</v>
      </c>
      <c r="E133" s="14" t="s">
        <v>945</v>
      </c>
      <c r="F133"/>
    </row>
    <row r="134" spans="1:6">
      <c r="A134" s="17" t="str">
        <f>DEC2HEX(INT(HEX2DEC(SUBSTITUTE('full nvm map'!$G$308,"0x",""))+HEX2DEC(E134)))&amp;"h"</f>
        <v>283h</v>
      </c>
      <c r="B134" s="14" t="s">
        <v>328</v>
      </c>
      <c r="C134" s="1" t="s">
        <v>798</v>
      </c>
      <c r="D134" s="1" t="s">
        <v>208</v>
      </c>
      <c r="E134" s="14" t="s">
        <v>946</v>
      </c>
      <c r="F134"/>
    </row>
    <row r="135" spans="1:6">
      <c r="A135" s="17" t="str">
        <f>DEC2HEX(INT(HEX2DEC(SUBSTITUTE('full nvm map'!$G$308,"0x",""))+HEX2DEC(E135)))&amp;"h"</f>
        <v>284h</v>
      </c>
      <c r="B135" s="14" t="s">
        <v>328</v>
      </c>
      <c r="C135" s="1" t="s">
        <v>798</v>
      </c>
      <c r="D135" s="1" t="s">
        <v>208</v>
      </c>
      <c r="E135" s="14" t="s">
        <v>947</v>
      </c>
      <c r="F135"/>
    </row>
    <row r="136" spans="1:6">
      <c r="A136" s="17" t="str">
        <f>DEC2HEX(INT(HEX2DEC(SUBSTITUTE('full nvm map'!$G$308,"0x",""))+HEX2DEC(E136)))&amp;"h"</f>
        <v>285h</v>
      </c>
      <c r="B136" s="14" t="s">
        <v>328</v>
      </c>
      <c r="C136" s="1" t="s">
        <v>798</v>
      </c>
      <c r="D136" s="1" t="s">
        <v>208</v>
      </c>
      <c r="E136" s="14" t="s">
        <v>948</v>
      </c>
      <c r="F136"/>
    </row>
    <row r="137" spans="1:6">
      <c r="A137" s="17" t="str">
        <f>DEC2HEX(INT(HEX2DEC(SUBSTITUTE('full nvm map'!$G$308,"0x",""))+HEX2DEC(E137)))&amp;"h"</f>
        <v>286h</v>
      </c>
      <c r="B137" s="14" t="s">
        <v>328</v>
      </c>
      <c r="C137" s="1" t="s">
        <v>798</v>
      </c>
      <c r="D137" s="1" t="s">
        <v>208</v>
      </c>
      <c r="E137" s="14" t="s">
        <v>949</v>
      </c>
      <c r="F137"/>
    </row>
    <row r="138" spans="1:6">
      <c r="A138" s="17" t="str">
        <f>DEC2HEX(INT(HEX2DEC(SUBSTITUTE('full nvm map'!$G$308,"0x",""))+HEX2DEC(E138)))&amp;"h"</f>
        <v>287h</v>
      </c>
      <c r="B138" s="14" t="s">
        <v>328</v>
      </c>
      <c r="C138" s="1" t="s">
        <v>798</v>
      </c>
      <c r="D138" s="1" t="s">
        <v>208</v>
      </c>
      <c r="E138" s="14" t="s">
        <v>950</v>
      </c>
      <c r="F138"/>
    </row>
    <row r="139" spans="1:6">
      <c r="A139" s="17" t="str">
        <f>DEC2HEX(INT(HEX2DEC(SUBSTITUTE('full nvm map'!$G$308,"0x",""))+HEX2DEC(E139)))&amp;"h"</f>
        <v>288h</v>
      </c>
      <c r="B139" s="14" t="s">
        <v>328</v>
      </c>
      <c r="C139" s="1" t="s">
        <v>798</v>
      </c>
      <c r="D139" s="1" t="s">
        <v>208</v>
      </c>
      <c r="E139" s="14" t="s">
        <v>951</v>
      </c>
      <c r="F139"/>
    </row>
    <row r="140" spans="1:6">
      <c r="A140" s="17" t="str">
        <f>DEC2HEX(INT(HEX2DEC(SUBSTITUTE('full nvm map'!$G$308,"0x",""))+HEX2DEC(E140)))&amp;"h"</f>
        <v>289h</v>
      </c>
      <c r="B140" s="14" t="s">
        <v>328</v>
      </c>
      <c r="C140" s="1" t="s">
        <v>798</v>
      </c>
      <c r="D140" s="1" t="s">
        <v>208</v>
      </c>
      <c r="E140" s="14" t="s">
        <v>952</v>
      </c>
      <c r="F140"/>
    </row>
    <row r="141" spans="1:6">
      <c r="A141" s="17" t="str">
        <f>DEC2HEX(INT(HEX2DEC(SUBSTITUTE('full nvm map'!$G$308,"0x",""))+HEX2DEC(E141)))&amp;"h"</f>
        <v>28Ah</v>
      </c>
      <c r="B141" s="14" t="s">
        <v>328</v>
      </c>
      <c r="C141" s="1" t="s">
        <v>798</v>
      </c>
      <c r="D141" s="1" t="s">
        <v>208</v>
      </c>
      <c r="E141" s="14" t="s">
        <v>1113</v>
      </c>
      <c r="F141"/>
    </row>
    <row r="142" spans="1:6">
      <c r="A142" s="17" t="str">
        <f>DEC2HEX(INT(HEX2DEC(SUBSTITUTE('full nvm map'!$G$308,"0x",""))+HEX2DEC(E142)))&amp;"h"</f>
        <v>28Bh</v>
      </c>
      <c r="B142" s="14" t="s">
        <v>328</v>
      </c>
      <c r="C142" s="1" t="s">
        <v>798</v>
      </c>
      <c r="D142" s="1" t="s">
        <v>208</v>
      </c>
      <c r="E142" s="14" t="s">
        <v>1114</v>
      </c>
      <c r="F142"/>
    </row>
    <row r="143" spans="1:6">
      <c r="A143" s="17" t="str">
        <f>DEC2HEX(INT(HEX2DEC(SUBSTITUTE('full nvm map'!$G$308,"0x",""))+HEX2DEC(E143)))&amp;"h"</f>
        <v>28Ch</v>
      </c>
      <c r="B143" s="14" t="s">
        <v>328</v>
      </c>
      <c r="C143" s="1" t="s">
        <v>798</v>
      </c>
      <c r="D143" s="1" t="s">
        <v>208</v>
      </c>
      <c r="E143" s="14" t="s">
        <v>1115</v>
      </c>
      <c r="F143"/>
    </row>
    <row r="144" spans="1:6">
      <c r="A144" s="17" t="str">
        <f>DEC2HEX(INT(HEX2DEC(SUBSTITUTE('full nvm map'!$G$308,"0x",""))+HEX2DEC(E144)))&amp;"h"</f>
        <v>28Dh</v>
      </c>
      <c r="B144" s="14" t="s">
        <v>328</v>
      </c>
      <c r="C144" s="1" t="s">
        <v>798</v>
      </c>
      <c r="D144" s="1" t="s">
        <v>208</v>
      </c>
      <c r="E144" s="14" t="s">
        <v>1116</v>
      </c>
      <c r="F144"/>
    </row>
    <row r="145" spans="1:6">
      <c r="A145" s="17" t="str">
        <f>DEC2HEX(INT(HEX2DEC(SUBSTITUTE('full nvm map'!$G$308,"0x",""))+HEX2DEC(E145)))&amp;"h"</f>
        <v>28Eh</v>
      </c>
      <c r="B145" s="14" t="s">
        <v>328</v>
      </c>
      <c r="C145" s="1" t="s">
        <v>798</v>
      </c>
      <c r="D145" s="1" t="s">
        <v>208</v>
      </c>
      <c r="E145" s="14" t="s">
        <v>1117</v>
      </c>
      <c r="F145"/>
    </row>
    <row r="146" spans="1:6">
      <c r="A146" s="17" t="str">
        <f>DEC2HEX(INT(HEX2DEC(SUBSTITUTE('full nvm map'!$G$308,"0x",""))+HEX2DEC(E146)))&amp;"h"</f>
        <v>28Fh</v>
      </c>
      <c r="B146" s="14" t="s">
        <v>328</v>
      </c>
      <c r="C146" s="1" t="s">
        <v>798</v>
      </c>
      <c r="D146" s="1" t="s">
        <v>208</v>
      </c>
      <c r="E146" s="14" t="s">
        <v>1118</v>
      </c>
      <c r="F146"/>
    </row>
    <row r="147" spans="1:6">
      <c r="A147" s="17" t="str">
        <f>DEC2HEX(INT(HEX2DEC(SUBSTITUTE('full nvm map'!$G$308,"0x",""))+HEX2DEC(E147)))&amp;"h"</f>
        <v>290h</v>
      </c>
      <c r="B147" s="14" t="s">
        <v>328</v>
      </c>
      <c r="C147" s="1" t="s">
        <v>798</v>
      </c>
      <c r="D147" s="1" t="s">
        <v>208</v>
      </c>
      <c r="E147" s="14" t="s">
        <v>953</v>
      </c>
      <c r="F147"/>
    </row>
    <row r="148" spans="1:6">
      <c r="A148" s="17" t="str">
        <f>DEC2HEX(INT(HEX2DEC(SUBSTITUTE('full nvm map'!$G$308,"0x",""))+HEX2DEC(E148)))&amp;"h"</f>
        <v>291h</v>
      </c>
      <c r="B148" s="14" t="s">
        <v>328</v>
      </c>
      <c r="C148" s="1" t="s">
        <v>798</v>
      </c>
      <c r="D148" s="1" t="s">
        <v>208</v>
      </c>
      <c r="E148" s="14" t="s">
        <v>954</v>
      </c>
      <c r="F148"/>
    </row>
    <row r="149" spans="1:6">
      <c r="A149" s="17" t="str">
        <f>DEC2HEX(INT(HEX2DEC(SUBSTITUTE('full nvm map'!$G$308,"0x",""))+HEX2DEC(E149)))&amp;"h"</f>
        <v>292h</v>
      </c>
      <c r="B149" s="14" t="s">
        <v>328</v>
      </c>
      <c r="C149" s="1" t="s">
        <v>798</v>
      </c>
      <c r="D149" s="1" t="s">
        <v>208</v>
      </c>
      <c r="E149" s="14" t="s">
        <v>955</v>
      </c>
      <c r="F149"/>
    </row>
    <row r="150" spans="1:6">
      <c r="A150" s="17" t="str">
        <f>DEC2HEX(INT(HEX2DEC(SUBSTITUTE('full nvm map'!$G$308,"0x",""))+HEX2DEC(E150)))&amp;"h"</f>
        <v>293h</v>
      </c>
      <c r="B150" s="14" t="s">
        <v>328</v>
      </c>
      <c r="C150" s="1" t="s">
        <v>798</v>
      </c>
      <c r="D150" s="1" t="s">
        <v>208</v>
      </c>
      <c r="E150" s="14" t="s">
        <v>956</v>
      </c>
      <c r="F150"/>
    </row>
    <row r="151" spans="1:6">
      <c r="A151" s="17" t="str">
        <f>DEC2HEX(INT(HEX2DEC(SUBSTITUTE('full nvm map'!$G$308,"0x",""))+HEX2DEC(E151)))&amp;"h"</f>
        <v>294h</v>
      </c>
      <c r="B151" s="14" t="s">
        <v>878</v>
      </c>
      <c r="C151" s="1" t="s">
        <v>865</v>
      </c>
      <c r="D151" s="1" t="s">
        <v>866</v>
      </c>
      <c r="E151" s="14" t="s">
        <v>1119</v>
      </c>
      <c r="F151"/>
    </row>
    <row r="152" spans="1:6">
      <c r="A152" s="17" t="str">
        <f>DEC2HEX(INT(HEX2DEC(SUBSTITUTE('full nvm map'!$G$308,"0x",""))+HEX2DEC(E152)))&amp;"h"</f>
        <v>294h</v>
      </c>
      <c r="B152" s="14" t="s">
        <v>572</v>
      </c>
      <c r="C152" s="1" t="s">
        <v>315</v>
      </c>
      <c r="D152" s="1" t="s">
        <v>864</v>
      </c>
      <c r="E152" s="14" t="s">
        <v>1119</v>
      </c>
      <c r="F152"/>
    </row>
    <row r="153" spans="1:6">
      <c r="A153" s="17" t="str">
        <f>DEC2HEX(INT(HEX2DEC(SUBSTITUTE('full nvm map'!$G$308,"0x",""))+HEX2DEC(E153)))&amp;"h"</f>
        <v>294h</v>
      </c>
      <c r="B153" s="14" t="s">
        <v>877</v>
      </c>
      <c r="C153" s="1" t="s">
        <v>394</v>
      </c>
      <c r="D153" s="1" t="s">
        <v>208</v>
      </c>
      <c r="E153" s="14" t="s">
        <v>1119</v>
      </c>
      <c r="F153"/>
    </row>
    <row r="154" spans="1:6">
      <c r="A154" s="17" t="str">
        <f>DEC2HEX(INT(HEX2DEC(SUBSTITUTE('full nvm map'!$G$308,"0x",""))+HEX2DEC(E154)))&amp;"h"</f>
        <v>294h</v>
      </c>
      <c r="B154" s="14" t="s">
        <v>876</v>
      </c>
      <c r="C154" s="1" t="s">
        <v>394</v>
      </c>
      <c r="D154" s="1" t="s">
        <v>863</v>
      </c>
      <c r="E154" s="14" t="s">
        <v>1119</v>
      </c>
      <c r="F154"/>
    </row>
    <row r="155" spans="1:6">
      <c r="A155" s="17" t="str">
        <f>DEC2HEX(INT(HEX2DEC(SUBSTITUTE('full nvm map'!$G$308,"0x",""))+HEX2DEC(E155)))&amp;"h"</f>
        <v>294h</v>
      </c>
      <c r="B155" s="14">
        <v>1</v>
      </c>
      <c r="C155" s="1" t="s">
        <v>315</v>
      </c>
      <c r="D155" s="1" t="s">
        <v>862</v>
      </c>
      <c r="E155" s="14" t="s">
        <v>1119</v>
      </c>
      <c r="F155"/>
    </row>
    <row r="156" spans="1:6">
      <c r="A156" s="17" t="str">
        <f>DEC2HEX(INT(HEX2DEC(SUBSTITUTE('full nvm map'!$G$308,"0x",""))+HEX2DEC(E156)))&amp;"h"</f>
        <v>294h</v>
      </c>
      <c r="B156" s="14">
        <v>0</v>
      </c>
      <c r="C156" s="1" t="s">
        <v>315</v>
      </c>
      <c r="D156" s="1" t="s">
        <v>861</v>
      </c>
      <c r="E156" s="14" t="s">
        <v>1119</v>
      </c>
      <c r="F156"/>
    </row>
    <row r="157" spans="1:6">
      <c r="A157" s="17" t="str">
        <f>DEC2HEX(INT(HEX2DEC(SUBSTITUTE('full nvm map'!$G$308,"0x",""))+HEX2DEC(E157)))&amp;"h"</f>
        <v>295h</v>
      </c>
      <c r="B157" s="14" t="s">
        <v>328</v>
      </c>
      <c r="C157" s="1" t="s">
        <v>798</v>
      </c>
      <c r="D157" s="1" t="s">
        <v>867</v>
      </c>
      <c r="E157" s="14" t="s">
        <v>957</v>
      </c>
      <c r="F157"/>
    </row>
    <row r="158" spans="1:6">
      <c r="A158" s="17" t="str">
        <f>DEC2HEX(INT(HEX2DEC(SUBSTITUTE('full nvm map'!$G$308,"0x",""))+HEX2DEC(E158)))&amp;"h"</f>
        <v>296h</v>
      </c>
      <c r="B158" s="14" t="s">
        <v>328</v>
      </c>
      <c r="C158" s="1" t="s">
        <v>798</v>
      </c>
      <c r="D158" s="1" t="s">
        <v>867</v>
      </c>
      <c r="E158" s="14" t="s">
        <v>958</v>
      </c>
      <c r="F158"/>
    </row>
    <row r="159" spans="1:6">
      <c r="A159" s="17" t="str">
        <f>DEC2HEX(INT(HEX2DEC(SUBSTITUTE('full nvm map'!$G$308,"0x",""))+HEX2DEC(E159)))&amp;"h"</f>
        <v>297h</v>
      </c>
      <c r="B159" s="14" t="s">
        <v>328</v>
      </c>
      <c r="C159" s="1" t="s">
        <v>798</v>
      </c>
      <c r="D159" s="1" t="s">
        <v>868</v>
      </c>
      <c r="E159" s="14" t="s">
        <v>959</v>
      </c>
      <c r="F159"/>
    </row>
    <row r="160" spans="1:6">
      <c r="A160" s="17" t="str">
        <f>DEC2HEX(INT(HEX2DEC(SUBSTITUTE('full nvm map'!$G$308,"0x",""))+HEX2DEC(E160)))&amp;"h"</f>
        <v>298h</v>
      </c>
      <c r="B160" s="14" t="s">
        <v>328</v>
      </c>
      <c r="C160" s="1" t="s">
        <v>798</v>
      </c>
      <c r="D160" s="1" t="s">
        <v>868</v>
      </c>
      <c r="E160" s="14" t="s">
        <v>960</v>
      </c>
      <c r="F160"/>
    </row>
    <row r="161" spans="1:6">
      <c r="A161" s="17" t="str">
        <f>DEC2HEX(INT(HEX2DEC(SUBSTITUTE('full nvm map'!$G$308,"0x",""))+HEX2DEC(E161)))&amp;"h"</f>
        <v>299h</v>
      </c>
      <c r="B161" s="14" t="s">
        <v>328</v>
      </c>
      <c r="C161" s="1" t="s">
        <v>798</v>
      </c>
      <c r="D161" s="1" t="s">
        <v>869</v>
      </c>
      <c r="E161" s="14" t="s">
        <v>961</v>
      </c>
      <c r="F161"/>
    </row>
    <row r="162" spans="1:6">
      <c r="A162" s="17" t="str">
        <f>DEC2HEX(INT(HEX2DEC(SUBSTITUTE('full nvm map'!$G$308,"0x",""))+HEX2DEC(E162)))&amp;"h"</f>
        <v>29Ah</v>
      </c>
      <c r="B162" s="14" t="s">
        <v>328</v>
      </c>
      <c r="C162" s="1" t="s">
        <v>798</v>
      </c>
      <c r="D162" s="1" t="s">
        <v>869</v>
      </c>
      <c r="E162" s="14" t="s">
        <v>962</v>
      </c>
      <c r="F162"/>
    </row>
    <row r="163" spans="1:6">
      <c r="A163" s="17" t="str">
        <f>DEC2HEX(INT(HEX2DEC(SUBSTITUTE('full nvm map'!$G$308,"0x",""))+HEX2DEC(E163)))&amp;"h"</f>
        <v>29Bh</v>
      </c>
      <c r="B163" s="14" t="s">
        <v>328</v>
      </c>
      <c r="C163" s="1" t="s">
        <v>798</v>
      </c>
      <c r="D163" s="1" t="s">
        <v>870</v>
      </c>
      <c r="E163" s="14" t="s">
        <v>963</v>
      </c>
      <c r="F163"/>
    </row>
    <row r="164" spans="1:6">
      <c r="A164" s="17" t="str">
        <f>DEC2HEX(INT(HEX2DEC(SUBSTITUTE('full nvm map'!$G$308,"0x",""))+HEX2DEC(E164)))&amp;"h"</f>
        <v>29Ch</v>
      </c>
      <c r="B164" s="14" t="s">
        <v>328</v>
      </c>
      <c r="C164" s="1" t="s">
        <v>798</v>
      </c>
      <c r="D164" s="1" t="s">
        <v>871</v>
      </c>
      <c r="E164" s="14" t="s">
        <v>964</v>
      </c>
      <c r="F164"/>
    </row>
    <row r="165" spans="1:6">
      <c r="A165" s="17" t="str">
        <f>DEC2HEX(INT(HEX2DEC(SUBSTITUTE('full nvm map'!$G$308,"0x",""))+HEX2DEC(E165)))&amp;"h"</f>
        <v>29Dh</v>
      </c>
      <c r="B165" s="14" t="s">
        <v>328</v>
      </c>
      <c r="C165" s="1" t="s">
        <v>798</v>
      </c>
      <c r="D165" s="1" t="s">
        <v>871</v>
      </c>
      <c r="E165" s="14" t="s">
        <v>965</v>
      </c>
      <c r="F165"/>
    </row>
    <row r="166" spans="1:6">
      <c r="A166" s="17" t="str">
        <f>DEC2HEX(INT(HEX2DEC(SUBSTITUTE('full nvm map'!$G$308,"0x",""))+HEX2DEC(E166)))&amp;"h"</f>
        <v>29Eh</v>
      </c>
      <c r="B166" s="14" t="s">
        <v>328</v>
      </c>
      <c r="C166" s="1" t="s">
        <v>1316</v>
      </c>
      <c r="D166" s="1" t="s">
        <v>872</v>
      </c>
      <c r="E166" s="14" t="s">
        <v>966</v>
      </c>
      <c r="F166"/>
    </row>
    <row r="167" spans="1:6">
      <c r="A167" s="17" t="str">
        <f>DEC2HEX(INT(HEX2DEC(SUBSTITUTE('full nvm map'!$G$308,"0x",""))+HEX2DEC(E167)))&amp;"h"</f>
        <v>29Fh</v>
      </c>
      <c r="B167" s="14" t="s">
        <v>328</v>
      </c>
      <c r="C167" s="1" t="s">
        <v>798</v>
      </c>
      <c r="D167" s="1" t="s">
        <v>873</v>
      </c>
      <c r="E167" s="14" t="s">
        <v>1120</v>
      </c>
      <c r="F167"/>
    </row>
    <row r="168" spans="1:6">
      <c r="A168" s="17" t="str">
        <f>DEC2HEX(INT(HEX2DEC(SUBSTITUTE('full nvm map'!$G$308,"0x",""))+HEX2DEC(E168)))&amp;"h"</f>
        <v>2A0h</v>
      </c>
      <c r="B168" s="14" t="s">
        <v>328</v>
      </c>
      <c r="C168" s="1" t="s">
        <v>798</v>
      </c>
      <c r="D168" s="1" t="s">
        <v>873</v>
      </c>
      <c r="E168" s="14" t="s">
        <v>1121</v>
      </c>
      <c r="F168"/>
    </row>
    <row r="169" spans="1:6">
      <c r="A169" s="17" t="str">
        <f>DEC2HEX(INT(HEX2DEC(SUBSTITUTE('full nvm map'!$G$308,"0x",""))+HEX2DEC(E169)))&amp;"h"</f>
        <v>2A1h</v>
      </c>
      <c r="B169" s="14" t="s">
        <v>328</v>
      </c>
      <c r="C169" s="1" t="s">
        <v>798</v>
      </c>
      <c r="D169" s="1" t="s">
        <v>873</v>
      </c>
      <c r="E169" s="14" t="s">
        <v>1122</v>
      </c>
      <c r="F169"/>
    </row>
    <row r="170" spans="1:6">
      <c r="A170" s="17" t="str">
        <f>DEC2HEX(INT(HEX2DEC(SUBSTITUTE('full nvm map'!$G$308,"0x",""))+HEX2DEC(E170)))&amp;"h"</f>
        <v>2A2h</v>
      </c>
      <c r="B170" s="14" t="s">
        <v>328</v>
      </c>
      <c r="C170" s="1" t="s">
        <v>798</v>
      </c>
      <c r="D170" s="1" t="s">
        <v>873</v>
      </c>
      <c r="E170" s="14" t="s">
        <v>1123</v>
      </c>
      <c r="F170"/>
    </row>
    <row r="171" spans="1:6">
      <c r="A171" s="17" t="str">
        <f>DEC2HEX(INT(HEX2DEC(SUBSTITUTE('full nvm map'!$G$308,"0x",""))+HEX2DEC(E171)))&amp;"h"</f>
        <v>2A3h</v>
      </c>
      <c r="B171" s="14" t="s">
        <v>328</v>
      </c>
      <c r="C171" s="1" t="s">
        <v>798</v>
      </c>
      <c r="D171" s="1" t="s">
        <v>873</v>
      </c>
      <c r="E171" s="14" t="s">
        <v>1124</v>
      </c>
      <c r="F171"/>
    </row>
    <row r="172" spans="1:6">
      <c r="A172" s="17" t="str">
        <f>DEC2HEX(INT(HEX2DEC(SUBSTITUTE('full nvm map'!$G$308,"0x",""))+HEX2DEC(E172)))&amp;"h"</f>
        <v>2A4h</v>
      </c>
      <c r="B172" s="14" t="s">
        <v>328</v>
      </c>
      <c r="C172" s="1" t="s">
        <v>798</v>
      </c>
      <c r="D172" s="1" t="s">
        <v>873</v>
      </c>
      <c r="E172" s="14" t="s">
        <v>1125</v>
      </c>
      <c r="F172"/>
    </row>
    <row r="173" spans="1:6">
      <c r="A173" s="17" t="str">
        <f>DEC2HEX(INT(HEX2DEC(SUBSTITUTE('full nvm map'!$G$308,"0x",""))+HEX2DEC(E173)))&amp;"h"</f>
        <v>2A5h</v>
      </c>
      <c r="B173" s="14" t="s">
        <v>328</v>
      </c>
      <c r="C173" s="1" t="s">
        <v>798</v>
      </c>
      <c r="D173" s="1" t="s">
        <v>873</v>
      </c>
      <c r="E173" s="14" t="s">
        <v>1126</v>
      </c>
      <c r="F173"/>
    </row>
    <row r="174" spans="1:6">
      <c r="A174" s="17" t="str">
        <f>DEC2HEX(INT(HEX2DEC(SUBSTITUTE('full nvm map'!$G$308,"0x",""))+HEX2DEC(E174)))&amp;"h"</f>
        <v>2A6h</v>
      </c>
      <c r="B174" s="14" t="s">
        <v>328</v>
      </c>
      <c r="C174" s="1" t="s">
        <v>798</v>
      </c>
      <c r="D174" s="1" t="s">
        <v>873</v>
      </c>
      <c r="E174" s="14" t="s">
        <v>1127</v>
      </c>
      <c r="F174"/>
    </row>
    <row r="175" spans="1:6">
      <c r="A175" s="17" t="str">
        <f>DEC2HEX(INT(HEX2DEC(SUBSTITUTE('full nvm map'!$G$308,"0x",""))+HEX2DEC(E175)))&amp;"h"</f>
        <v>2A7h</v>
      </c>
      <c r="B175" s="14" t="s">
        <v>328</v>
      </c>
      <c r="C175" s="1" t="s">
        <v>798</v>
      </c>
      <c r="D175" s="1" t="s">
        <v>873</v>
      </c>
      <c r="E175" s="14" t="s">
        <v>1128</v>
      </c>
      <c r="F175"/>
    </row>
    <row r="176" spans="1:6">
      <c r="A176" s="17" t="str">
        <f>DEC2HEX(INT(HEX2DEC(SUBSTITUTE('full nvm map'!$G$308,"0x",""))+HEX2DEC(E176)))&amp;"h"</f>
        <v>2A8h</v>
      </c>
      <c r="B176" s="14" t="s">
        <v>328</v>
      </c>
      <c r="C176" s="1" t="s">
        <v>798</v>
      </c>
      <c r="D176" s="1" t="s">
        <v>873</v>
      </c>
      <c r="E176" s="14" t="s">
        <v>1129</v>
      </c>
      <c r="F176"/>
    </row>
    <row r="177" spans="1:6">
      <c r="A177" s="17" t="str">
        <f>DEC2HEX(INT(HEX2DEC(SUBSTITUTE('full nvm map'!$G$308,"0x",""))+HEX2DEC(E177)))&amp;"h"</f>
        <v>2A9h</v>
      </c>
      <c r="B177" s="14" t="s">
        <v>328</v>
      </c>
      <c r="C177" s="1" t="s">
        <v>798</v>
      </c>
      <c r="D177" s="1" t="s">
        <v>873</v>
      </c>
      <c r="E177" s="14" t="s">
        <v>1130</v>
      </c>
      <c r="F177"/>
    </row>
    <row r="178" spans="1:6">
      <c r="A178" s="17" t="str">
        <f>DEC2HEX(INT(HEX2DEC(SUBSTITUTE('full nvm map'!$G$308,"0x",""))+HEX2DEC(E178)))&amp;"h"</f>
        <v>2AAh</v>
      </c>
      <c r="B178" s="14" t="s">
        <v>328</v>
      </c>
      <c r="C178" s="1" t="s">
        <v>798</v>
      </c>
      <c r="D178" s="1" t="s">
        <v>873</v>
      </c>
      <c r="E178" s="14" t="s">
        <v>1131</v>
      </c>
      <c r="F178"/>
    </row>
    <row r="179" spans="1:6">
      <c r="A179" s="17" t="str">
        <f>DEC2HEX(INT(HEX2DEC(SUBSTITUTE('full nvm map'!$G$308,"0x",""))+HEX2DEC(E179)))&amp;"h"</f>
        <v>2ABh</v>
      </c>
      <c r="B179" s="14" t="s">
        <v>328</v>
      </c>
      <c r="C179" s="1" t="s">
        <v>798</v>
      </c>
      <c r="D179" s="1" t="s">
        <v>873</v>
      </c>
      <c r="E179" s="14" t="s">
        <v>1132</v>
      </c>
      <c r="F179"/>
    </row>
    <row r="180" spans="1:6">
      <c r="A180" s="17" t="str">
        <f>DEC2HEX(INT(HEX2DEC(SUBSTITUTE('full nvm map'!$G$308,"0x",""))+HEX2DEC(E180)))&amp;"h"</f>
        <v>2ACh</v>
      </c>
      <c r="B180" s="14" t="s">
        <v>328</v>
      </c>
      <c r="C180" s="1" t="s">
        <v>798</v>
      </c>
      <c r="D180" s="1" t="s">
        <v>873</v>
      </c>
      <c r="E180" s="14" t="s">
        <v>1133</v>
      </c>
      <c r="F180"/>
    </row>
    <row r="181" spans="1:6">
      <c r="A181" s="17" t="str">
        <f>DEC2HEX(INT(HEX2DEC(SUBSTITUTE('full nvm map'!$G$308,"0x",""))+HEX2DEC(E181)))&amp;"h"</f>
        <v>2ADh</v>
      </c>
      <c r="B181" s="14" t="s">
        <v>328</v>
      </c>
      <c r="C181" s="1" t="s">
        <v>798</v>
      </c>
      <c r="D181" s="1" t="s">
        <v>873</v>
      </c>
      <c r="E181" s="14" t="s">
        <v>1134</v>
      </c>
      <c r="F181"/>
    </row>
    <row r="182" spans="1:6">
      <c r="A182" s="17" t="str">
        <f>DEC2HEX(INT(HEX2DEC(SUBSTITUTE('full nvm map'!$G$308,"0x",""))+HEX2DEC(E182)))&amp;"h"</f>
        <v>2AEh</v>
      </c>
      <c r="B182" s="14" t="s">
        <v>328</v>
      </c>
      <c r="C182" s="1" t="s">
        <v>798</v>
      </c>
      <c r="D182" s="1" t="s">
        <v>873</v>
      </c>
      <c r="E182" s="14" t="s">
        <v>1135</v>
      </c>
      <c r="F182"/>
    </row>
    <row r="183" spans="1:6">
      <c r="A183" s="17" t="str">
        <f>DEC2HEX(INT(HEX2DEC(SUBSTITUTE('full nvm map'!$G$308,"0x",""))+HEX2DEC(E183)))&amp;"h"</f>
        <v>2AFh</v>
      </c>
      <c r="B183" s="14" t="s">
        <v>328</v>
      </c>
      <c r="C183" s="1" t="s">
        <v>798</v>
      </c>
      <c r="D183" s="1" t="s">
        <v>873</v>
      </c>
      <c r="E183" s="14" t="s">
        <v>1136</v>
      </c>
      <c r="F183"/>
    </row>
    <row r="184" spans="1:6">
      <c r="A184" s="17" t="str">
        <f>DEC2HEX(INT(HEX2DEC(SUBSTITUTE('full nvm map'!$G$308,"0x",""))+HEX2DEC(E184)))&amp;"h"</f>
        <v>2B0h</v>
      </c>
      <c r="B184" s="14" t="s">
        <v>328</v>
      </c>
      <c r="C184" s="1" t="s">
        <v>798</v>
      </c>
      <c r="D184" s="1" t="s">
        <v>873</v>
      </c>
      <c r="E184" s="14" t="s">
        <v>1137</v>
      </c>
      <c r="F184"/>
    </row>
    <row r="185" spans="1:6">
      <c r="A185" s="17" t="str">
        <f>DEC2HEX(INT(HEX2DEC(SUBSTITUTE('full nvm map'!$G$308,"0x",""))+HEX2DEC(E185)))&amp;"h"</f>
        <v>2B1h</v>
      </c>
      <c r="B185" s="14" t="s">
        <v>328</v>
      </c>
      <c r="C185" s="1" t="s">
        <v>798</v>
      </c>
      <c r="D185" s="1" t="s">
        <v>873</v>
      </c>
      <c r="E185" s="14" t="s">
        <v>1138</v>
      </c>
      <c r="F185"/>
    </row>
    <row r="186" spans="1:6">
      <c r="A186" s="17" t="str">
        <f>DEC2HEX(INT(HEX2DEC(SUBSTITUTE('full nvm map'!$G$308,"0x",""))+HEX2DEC(E186)))&amp;"h"</f>
        <v>2B2h</v>
      </c>
      <c r="B186" s="14" t="s">
        <v>328</v>
      </c>
      <c r="C186" s="1" t="s">
        <v>798</v>
      </c>
      <c r="D186" s="1" t="s">
        <v>873</v>
      </c>
      <c r="E186" s="14" t="s">
        <v>1139</v>
      </c>
      <c r="F186"/>
    </row>
    <row r="187" spans="1:6">
      <c r="A187" s="17" t="str">
        <f>DEC2HEX(INT(HEX2DEC(SUBSTITUTE('full nvm map'!$G$308,"0x",""))+HEX2DEC(E187)))&amp;"h"</f>
        <v>2B3h</v>
      </c>
      <c r="B187" s="14" t="s">
        <v>328</v>
      </c>
      <c r="C187" s="1" t="s">
        <v>798</v>
      </c>
      <c r="D187" s="1" t="s">
        <v>873</v>
      </c>
      <c r="E187" s="14" t="s">
        <v>1140</v>
      </c>
      <c r="F187"/>
    </row>
    <row r="188" spans="1:6">
      <c r="A188" s="17" t="str">
        <f>DEC2HEX(INT(HEX2DEC(SUBSTITUTE('full nvm map'!$G$308,"0x",""))+HEX2DEC(E188)))&amp;"h"</f>
        <v>2B4h</v>
      </c>
      <c r="B188" s="14" t="s">
        <v>328</v>
      </c>
      <c r="C188" s="1" t="s">
        <v>798</v>
      </c>
      <c r="D188" s="1" t="s">
        <v>873</v>
      </c>
      <c r="E188" s="14" t="s">
        <v>1141</v>
      </c>
      <c r="F188"/>
    </row>
    <row r="189" spans="1:6">
      <c r="A189" s="17" t="str">
        <f>DEC2HEX(INT(HEX2DEC(SUBSTITUTE('full nvm map'!$G$308,"0x",""))+HEX2DEC(E189)))&amp;"h"</f>
        <v>2B5h</v>
      </c>
      <c r="B189" s="14" t="s">
        <v>328</v>
      </c>
      <c r="C189" s="1" t="s">
        <v>798</v>
      </c>
      <c r="D189" s="1" t="s">
        <v>873</v>
      </c>
      <c r="E189" s="14" t="s">
        <v>1142</v>
      </c>
      <c r="F189"/>
    </row>
    <row r="190" spans="1:6">
      <c r="A190" s="17" t="str">
        <f>DEC2HEX(INT(HEX2DEC(SUBSTITUTE('full nvm map'!$G$308,"0x",""))+HEX2DEC(E190)))&amp;"h"</f>
        <v>2B6h</v>
      </c>
      <c r="B190" s="14" t="s">
        <v>328</v>
      </c>
      <c r="C190" s="1" t="s">
        <v>798</v>
      </c>
      <c r="D190" s="1" t="s">
        <v>873</v>
      </c>
      <c r="E190" s="14" t="s">
        <v>1143</v>
      </c>
      <c r="F190"/>
    </row>
    <row r="191" spans="1:6">
      <c r="A191" s="17" t="str">
        <f>DEC2HEX(INT(HEX2DEC(SUBSTITUTE('full nvm map'!$G$308,"0x",""))+HEX2DEC(E191)))&amp;"h"</f>
        <v>2B7h</v>
      </c>
      <c r="B191" s="14" t="s">
        <v>328</v>
      </c>
      <c r="C191" s="1" t="s">
        <v>798</v>
      </c>
      <c r="D191" s="1" t="s">
        <v>873</v>
      </c>
      <c r="E191" s="14" t="s">
        <v>1144</v>
      </c>
      <c r="F191"/>
    </row>
    <row r="192" spans="1:6">
      <c r="A192" s="17" t="str">
        <f>DEC2HEX(INT(HEX2DEC(SUBSTITUTE('full nvm map'!$G$308,"0x",""))+HEX2DEC(E192)))&amp;"h"</f>
        <v>2B8h</v>
      </c>
      <c r="B192" s="14" t="s">
        <v>328</v>
      </c>
      <c r="C192" s="1" t="s">
        <v>798</v>
      </c>
      <c r="D192" s="1" t="s">
        <v>873</v>
      </c>
      <c r="E192" s="14" t="s">
        <v>1145</v>
      </c>
      <c r="F192"/>
    </row>
    <row r="193" spans="1:6">
      <c r="A193" s="17" t="str">
        <f>DEC2HEX(INT(HEX2DEC(SUBSTITUTE('full nvm map'!$G$308,"0x",""))+HEX2DEC(E193)))&amp;"h"</f>
        <v>2B9h</v>
      </c>
      <c r="B193" s="14" t="s">
        <v>328</v>
      </c>
      <c r="C193" s="1" t="s">
        <v>798</v>
      </c>
      <c r="D193" s="1" t="s">
        <v>873</v>
      </c>
      <c r="E193" s="14" t="s">
        <v>1146</v>
      </c>
      <c r="F193"/>
    </row>
    <row r="194" spans="1:6">
      <c r="A194" s="17" t="str">
        <f>DEC2HEX(INT(HEX2DEC(SUBSTITUTE('full nvm map'!$G$308,"0x",""))+HEX2DEC(E194)))&amp;"h"</f>
        <v>2BAh</v>
      </c>
      <c r="B194" s="14" t="s">
        <v>328</v>
      </c>
      <c r="C194" s="1" t="s">
        <v>798</v>
      </c>
      <c r="D194" s="1" t="s">
        <v>873</v>
      </c>
      <c r="E194" s="14" t="s">
        <v>1147</v>
      </c>
      <c r="F194"/>
    </row>
    <row r="195" spans="1:6">
      <c r="A195" s="17" t="str">
        <f>DEC2HEX(INT(HEX2DEC(SUBSTITUTE('full nvm map'!$G$308,"0x",""))+HEX2DEC(E195)))&amp;"h"</f>
        <v>2BBh</v>
      </c>
      <c r="B195" s="14" t="s">
        <v>328</v>
      </c>
      <c r="C195" s="1" t="s">
        <v>798</v>
      </c>
      <c r="D195" s="1" t="s">
        <v>873</v>
      </c>
      <c r="E195" s="14" t="s">
        <v>1148</v>
      </c>
      <c r="F195"/>
    </row>
    <row r="196" spans="1:6">
      <c r="A196" s="17" t="str">
        <f>DEC2HEX(INT(HEX2DEC(SUBSTITUTE('full nvm map'!$G$308,"0x",""))+HEX2DEC(E196)))&amp;"h"</f>
        <v>2BCh</v>
      </c>
      <c r="B196" s="14" t="s">
        <v>328</v>
      </c>
      <c r="C196" s="1" t="s">
        <v>798</v>
      </c>
      <c r="D196" s="1" t="s">
        <v>873</v>
      </c>
      <c r="E196" s="14" t="s">
        <v>1149</v>
      </c>
      <c r="F196"/>
    </row>
    <row r="197" spans="1:6">
      <c r="A197" s="17" t="str">
        <f>DEC2HEX(INT(HEX2DEC(SUBSTITUTE('full nvm map'!$G$308,"0x",""))+HEX2DEC(E197)))&amp;"h"</f>
        <v>2BDh</v>
      </c>
      <c r="B197" s="14" t="s">
        <v>328</v>
      </c>
      <c r="C197" s="1" t="s">
        <v>798</v>
      </c>
      <c r="D197" s="1" t="s">
        <v>873</v>
      </c>
      <c r="E197" s="14" t="s">
        <v>1150</v>
      </c>
      <c r="F197"/>
    </row>
    <row r="198" spans="1:6">
      <c r="A198" s="17" t="str">
        <f>DEC2HEX(INT(HEX2DEC(SUBSTITUTE('full nvm map'!$G$308,"0x",""))+HEX2DEC(E198)))&amp;"h"</f>
        <v>2BEh</v>
      </c>
      <c r="B198" s="14" t="s">
        <v>328</v>
      </c>
      <c r="C198" s="1" t="s">
        <v>798</v>
      </c>
      <c r="D198" s="1" t="s">
        <v>873</v>
      </c>
      <c r="E198" s="14" t="s">
        <v>1151</v>
      </c>
      <c r="F198"/>
    </row>
    <row r="199" spans="1:6">
      <c r="A199" s="17" t="str">
        <f>DEC2HEX(INT(HEX2DEC(SUBSTITUTE('full nvm map'!$G$308,"0x",""))+HEX2DEC(E199)))&amp;"h"</f>
        <v>2BFh</v>
      </c>
      <c r="B199" s="14" t="s">
        <v>328</v>
      </c>
      <c r="C199" s="1" t="s">
        <v>798</v>
      </c>
      <c r="D199" s="1" t="s">
        <v>873</v>
      </c>
      <c r="E199" s="14" t="s">
        <v>1152</v>
      </c>
      <c r="F199"/>
    </row>
    <row r="200" spans="1:6">
      <c r="A200" s="17" t="str">
        <f>DEC2HEX(INT(HEX2DEC(SUBSTITUTE('full nvm map'!$G$308,"0x",""))+HEX2DEC(E200)))&amp;"h"</f>
        <v>2C0h</v>
      </c>
      <c r="B200" s="14" t="s">
        <v>328</v>
      </c>
      <c r="C200" s="1" t="s">
        <v>798</v>
      </c>
      <c r="D200" s="1" t="s">
        <v>873</v>
      </c>
      <c r="E200" s="14" t="s">
        <v>1153</v>
      </c>
      <c r="F200"/>
    </row>
    <row r="201" spans="1:6">
      <c r="A201" s="17" t="str">
        <f>DEC2HEX(INT(HEX2DEC(SUBSTITUTE('full nvm map'!$G$308,"0x",""))+HEX2DEC(E201)))&amp;"h"</f>
        <v>2C1h</v>
      </c>
      <c r="B201" s="14" t="s">
        <v>328</v>
      </c>
      <c r="C201" s="1" t="s">
        <v>798</v>
      </c>
      <c r="D201" s="1" t="s">
        <v>873</v>
      </c>
      <c r="E201" s="14" t="s">
        <v>1154</v>
      </c>
      <c r="F201"/>
    </row>
    <row r="202" spans="1:6">
      <c r="A202" s="17" t="str">
        <f>DEC2HEX(INT(HEX2DEC(SUBSTITUTE('full nvm map'!$G$308,"0x",""))+HEX2DEC(E202)))&amp;"h"</f>
        <v>2C2h</v>
      </c>
      <c r="B202" s="14" t="s">
        <v>328</v>
      </c>
      <c r="C202" s="1" t="s">
        <v>798</v>
      </c>
      <c r="D202" s="1" t="s">
        <v>873</v>
      </c>
      <c r="E202" s="14" t="s">
        <v>1155</v>
      </c>
      <c r="F202"/>
    </row>
    <row r="203" spans="1:6">
      <c r="A203" s="17" t="str">
        <f>DEC2HEX(INT(HEX2DEC(SUBSTITUTE('full nvm map'!$G$308,"0x",""))+HEX2DEC(E203)))&amp;"h"</f>
        <v>2C3h</v>
      </c>
      <c r="B203" s="14" t="s">
        <v>328</v>
      </c>
      <c r="C203" s="1" t="s">
        <v>798</v>
      </c>
      <c r="D203" s="1" t="s">
        <v>873</v>
      </c>
      <c r="E203" s="14" t="s">
        <v>1156</v>
      </c>
      <c r="F203"/>
    </row>
    <row r="204" spans="1:6">
      <c r="A204" s="17" t="str">
        <f>DEC2HEX(INT(HEX2DEC(SUBSTITUTE('full nvm map'!$G$308,"0x",""))+HEX2DEC(E204)))&amp;"h"</f>
        <v>2C4h</v>
      </c>
      <c r="B204" s="14" t="s">
        <v>328</v>
      </c>
      <c r="C204" s="1" t="s">
        <v>798</v>
      </c>
      <c r="D204" s="1" t="s">
        <v>873</v>
      </c>
      <c r="E204" s="14" t="s">
        <v>1157</v>
      </c>
      <c r="F204"/>
    </row>
    <row r="205" spans="1:6">
      <c r="A205" s="17" t="str">
        <f>DEC2HEX(INT(HEX2DEC(SUBSTITUTE('full nvm map'!$G$308,"0x",""))+HEX2DEC(E205)))&amp;"h"</f>
        <v>2C5h</v>
      </c>
      <c r="B205" s="14" t="s">
        <v>328</v>
      </c>
      <c r="C205" s="1" t="s">
        <v>798</v>
      </c>
      <c r="D205" s="1" t="s">
        <v>873</v>
      </c>
      <c r="E205" s="14" t="s">
        <v>1158</v>
      </c>
      <c r="F205"/>
    </row>
    <row r="206" spans="1:6">
      <c r="A206" s="17" t="str">
        <f>DEC2HEX(INT(HEX2DEC(SUBSTITUTE('full nvm map'!$G$308,"0x",""))+HEX2DEC(E206)))&amp;"h"</f>
        <v>2C6h</v>
      </c>
      <c r="B206" s="14" t="s">
        <v>328</v>
      </c>
      <c r="C206" s="1" t="s">
        <v>798</v>
      </c>
      <c r="D206" s="1" t="s">
        <v>873</v>
      </c>
      <c r="E206" s="14" t="s">
        <v>1159</v>
      </c>
      <c r="F206"/>
    </row>
    <row r="207" spans="1:6">
      <c r="A207" s="17" t="str">
        <f>DEC2HEX(INT(HEX2DEC(SUBSTITUTE('full nvm map'!$G$308,"0x",""))+HEX2DEC(E207)))&amp;"h"</f>
        <v>2C7h</v>
      </c>
      <c r="B207" s="14" t="s">
        <v>328</v>
      </c>
      <c r="C207" s="1" t="s">
        <v>798</v>
      </c>
      <c r="D207" s="1" t="s">
        <v>873</v>
      </c>
      <c r="E207" s="14" t="s">
        <v>1160</v>
      </c>
      <c r="F207"/>
    </row>
    <row r="208" spans="1:6">
      <c r="A208" s="17" t="str">
        <f>DEC2HEX(INT(HEX2DEC(SUBSTITUTE('full nvm map'!$G$308,"0x",""))+HEX2DEC(E208)))&amp;"h"</f>
        <v>2C8h</v>
      </c>
      <c r="B208" s="14" t="s">
        <v>328</v>
      </c>
      <c r="C208" s="1" t="s">
        <v>798</v>
      </c>
      <c r="D208" s="1" t="s">
        <v>873</v>
      </c>
      <c r="E208" s="14" t="s">
        <v>1161</v>
      </c>
      <c r="F208"/>
    </row>
    <row r="209" spans="1:6">
      <c r="A209" s="17" t="str">
        <f>DEC2HEX(INT(HEX2DEC(SUBSTITUTE('full nvm map'!$G$308,"0x",""))+HEX2DEC(E209)))&amp;"h"</f>
        <v>2C9h</v>
      </c>
      <c r="B209" s="14" t="s">
        <v>328</v>
      </c>
      <c r="C209" s="1" t="s">
        <v>798</v>
      </c>
      <c r="D209" s="1" t="s">
        <v>873</v>
      </c>
      <c r="E209" s="14" t="s">
        <v>1162</v>
      </c>
      <c r="F209"/>
    </row>
    <row r="210" spans="1:6">
      <c r="A210" s="17" t="str">
        <f>DEC2HEX(INT(HEX2DEC(SUBSTITUTE('full nvm map'!$G$308,"0x",""))+HEX2DEC(E210)))&amp;"h"</f>
        <v>2CAh</v>
      </c>
      <c r="B210" s="14" t="s">
        <v>328</v>
      </c>
      <c r="C210" s="1" t="s">
        <v>798</v>
      </c>
      <c r="D210" s="1" t="s">
        <v>873</v>
      </c>
      <c r="E210" s="14" t="s">
        <v>1163</v>
      </c>
      <c r="F210"/>
    </row>
    <row r="211" spans="1:6">
      <c r="A211" s="17" t="str">
        <f>DEC2HEX(INT(HEX2DEC(SUBSTITUTE('full nvm map'!$G$308,"0x",""))+HEX2DEC(E211)))&amp;"h"</f>
        <v>2CBh</v>
      </c>
      <c r="B211" s="14" t="s">
        <v>328</v>
      </c>
      <c r="C211" s="1" t="s">
        <v>798</v>
      </c>
      <c r="D211" s="1" t="s">
        <v>873</v>
      </c>
      <c r="E211" s="14" t="s">
        <v>1164</v>
      </c>
      <c r="F211"/>
    </row>
    <row r="212" spans="1:6">
      <c r="A212" s="17" t="str">
        <f>DEC2HEX(INT(HEX2DEC(SUBSTITUTE('full nvm map'!$G$308,"0x",""))+HEX2DEC(E212)))&amp;"h"</f>
        <v>2CCh</v>
      </c>
      <c r="B212" s="14" t="s">
        <v>328</v>
      </c>
      <c r="C212" s="1" t="s">
        <v>798</v>
      </c>
      <c r="D212" s="1" t="s">
        <v>873</v>
      </c>
      <c r="E212" s="14" t="s">
        <v>1165</v>
      </c>
      <c r="F212"/>
    </row>
    <row r="213" spans="1:6">
      <c r="A213" s="17" t="str">
        <f>DEC2HEX(INT(HEX2DEC(SUBSTITUTE('full nvm map'!$G$308,"0x",""))+HEX2DEC(E213)))&amp;"h"</f>
        <v>2CDh</v>
      </c>
      <c r="B213" s="14" t="s">
        <v>328</v>
      </c>
      <c r="C213" s="1" t="s">
        <v>798</v>
      </c>
      <c r="D213" s="1" t="s">
        <v>873</v>
      </c>
      <c r="E213" s="14" t="s">
        <v>1166</v>
      </c>
      <c r="F213"/>
    </row>
    <row r="214" spans="1:6">
      <c r="A214" s="17" t="str">
        <f>DEC2HEX(INT(HEX2DEC(SUBSTITUTE('full nvm map'!$G$308,"0x",""))+HEX2DEC(E214)))&amp;"h"</f>
        <v>2CEh</v>
      </c>
      <c r="B214" s="14" t="s">
        <v>328</v>
      </c>
      <c r="C214" s="1" t="s">
        <v>798</v>
      </c>
      <c r="D214" s="1" t="s">
        <v>873</v>
      </c>
      <c r="E214" s="14" t="s">
        <v>1167</v>
      </c>
      <c r="F214"/>
    </row>
    <row r="215" spans="1:6">
      <c r="A215" s="17" t="str">
        <f>DEC2HEX(INT(HEX2DEC(SUBSTITUTE('full nvm map'!$G$308,"0x",""))+HEX2DEC(E215)))&amp;"h"</f>
        <v>2CFh</v>
      </c>
      <c r="B215" s="14" t="s">
        <v>328</v>
      </c>
      <c r="C215" s="1" t="s">
        <v>798</v>
      </c>
      <c r="D215" s="1" t="s">
        <v>873</v>
      </c>
      <c r="E215" s="14" t="s">
        <v>1168</v>
      </c>
      <c r="F215"/>
    </row>
    <row r="216" spans="1:6">
      <c r="A216" s="17" t="str">
        <f>DEC2HEX(INT(HEX2DEC(SUBSTITUTE('full nvm map'!$G$308,"0x",""))+HEX2DEC(E216)))&amp;"h"</f>
        <v>2D0h</v>
      </c>
      <c r="B216" s="14" t="s">
        <v>328</v>
      </c>
      <c r="C216" s="1" t="s">
        <v>798</v>
      </c>
      <c r="D216" s="1" t="s">
        <v>873</v>
      </c>
      <c r="E216" s="14" t="s">
        <v>1169</v>
      </c>
      <c r="F216"/>
    </row>
    <row r="217" spans="1:6">
      <c r="A217" s="17" t="str">
        <f>DEC2HEX(INT(HEX2DEC(SUBSTITUTE('full nvm map'!$G$308,"0x",""))+HEX2DEC(E217)))&amp;"h"</f>
        <v>2D1h</v>
      </c>
      <c r="B217" s="14" t="s">
        <v>328</v>
      </c>
      <c r="C217" s="1" t="s">
        <v>798</v>
      </c>
      <c r="D217" s="1" t="s">
        <v>873</v>
      </c>
      <c r="E217" s="14" t="s">
        <v>1170</v>
      </c>
      <c r="F217"/>
    </row>
    <row r="218" spans="1:6">
      <c r="A218" s="17" t="str">
        <f>DEC2HEX(INT(HEX2DEC(SUBSTITUTE('full nvm map'!$G$308,"0x",""))+HEX2DEC(E218)))&amp;"h"</f>
        <v>2D2h</v>
      </c>
      <c r="B218" s="14" t="s">
        <v>328</v>
      </c>
      <c r="C218" s="1" t="s">
        <v>798</v>
      </c>
      <c r="D218" s="1" t="s">
        <v>873</v>
      </c>
      <c r="E218" s="14" t="s">
        <v>1171</v>
      </c>
      <c r="F218"/>
    </row>
    <row r="219" spans="1:6">
      <c r="A219" s="17" t="str">
        <f>DEC2HEX(INT(HEX2DEC(SUBSTITUTE('full nvm map'!$G$308,"0x",""))+HEX2DEC(E219)))&amp;"h"</f>
        <v>2D3h</v>
      </c>
      <c r="B219" s="14" t="s">
        <v>328</v>
      </c>
      <c r="C219" s="1" t="s">
        <v>798</v>
      </c>
      <c r="D219" s="1" t="s">
        <v>873</v>
      </c>
      <c r="E219" s="14" t="s">
        <v>1172</v>
      </c>
      <c r="F219"/>
    </row>
    <row r="220" spans="1:6">
      <c r="A220" s="17" t="str">
        <f>DEC2HEX(INT(HEX2DEC(SUBSTITUTE('full nvm map'!$G$308,"0x",""))+HEX2DEC(E220)))&amp;"h"</f>
        <v>2D4h</v>
      </c>
      <c r="B220" s="14" t="s">
        <v>328</v>
      </c>
      <c r="C220" s="1" t="s">
        <v>798</v>
      </c>
      <c r="D220" s="1" t="s">
        <v>873</v>
      </c>
      <c r="E220" s="14" t="s">
        <v>1173</v>
      </c>
      <c r="F220"/>
    </row>
    <row r="221" spans="1:6">
      <c r="A221" s="17" t="str">
        <f>DEC2HEX(INT(HEX2DEC(SUBSTITUTE('full nvm map'!$G$308,"0x",""))+HEX2DEC(E221)))&amp;"h"</f>
        <v>2D5h</v>
      </c>
      <c r="B221" s="14" t="s">
        <v>328</v>
      </c>
      <c r="C221" s="1" t="s">
        <v>798</v>
      </c>
      <c r="D221" s="1" t="s">
        <v>873</v>
      </c>
      <c r="E221" s="14" t="s">
        <v>1174</v>
      </c>
      <c r="F221"/>
    </row>
    <row r="222" spans="1:6">
      <c r="A222" s="17" t="str">
        <f>DEC2HEX(INT(HEX2DEC(SUBSTITUTE('full nvm map'!$G$308,"0x",""))+HEX2DEC(E222)))&amp;"h"</f>
        <v>2D6h</v>
      </c>
      <c r="B222" s="14" t="s">
        <v>328</v>
      </c>
      <c r="C222" s="1" t="s">
        <v>798</v>
      </c>
      <c r="D222" s="1" t="s">
        <v>873</v>
      </c>
      <c r="E222" s="14" t="s">
        <v>1175</v>
      </c>
      <c r="F222"/>
    </row>
    <row r="223" spans="1:6">
      <c r="A223" s="17" t="str">
        <f>DEC2HEX(INT(HEX2DEC(SUBSTITUTE('full nvm map'!$G$308,"0x",""))+HEX2DEC(E223)))&amp;"h"</f>
        <v>2D7h</v>
      </c>
      <c r="B223" s="14" t="s">
        <v>328</v>
      </c>
      <c r="C223" s="1" t="s">
        <v>798</v>
      </c>
      <c r="D223" s="1" t="s">
        <v>873</v>
      </c>
      <c r="E223" s="14" t="s">
        <v>1176</v>
      </c>
      <c r="F223"/>
    </row>
    <row r="224" spans="1:6">
      <c r="A224" s="17" t="str">
        <f>DEC2HEX(INT(HEX2DEC(SUBSTITUTE('full nvm map'!$G$308,"0x",""))+HEX2DEC(E224)))&amp;"h"</f>
        <v>2D8h</v>
      </c>
      <c r="B224" s="14" t="s">
        <v>328</v>
      </c>
      <c r="C224" s="1" t="s">
        <v>798</v>
      </c>
      <c r="D224" s="1" t="s">
        <v>873</v>
      </c>
      <c r="E224" s="14" t="s">
        <v>1177</v>
      </c>
      <c r="F224"/>
    </row>
    <row r="225" spans="1:6">
      <c r="A225" s="17" t="str">
        <f>DEC2HEX(INT(HEX2DEC(SUBSTITUTE('full nvm map'!$G$308,"0x",""))+HEX2DEC(E225)))&amp;"h"</f>
        <v>2D9h</v>
      </c>
      <c r="B225" s="14" t="s">
        <v>328</v>
      </c>
      <c r="C225" s="1" t="s">
        <v>798</v>
      </c>
      <c r="D225" s="1" t="s">
        <v>873</v>
      </c>
      <c r="E225" s="14" t="s">
        <v>1178</v>
      </c>
      <c r="F225"/>
    </row>
    <row r="226" spans="1:6">
      <c r="A226" s="17" t="str">
        <f>DEC2HEX(INT(HEX2DEC(SUBSTITUTE('full nvm map'!$G$308,"0x",""))+HEX2DEC(E226)))&amp;"h"</f>
        <v>2DAh</v>
      </c>
      <c r="B226" s="14" t="s">
        <v>328</v>
      </c>
      <c r="C226" s="1" t="s">
        <v>798</v>
      </c>
      <c r="D226" s="1" t="s">
        <v>873</v>
      </c>
      <c r="E226" s="14" t="s">
        <v>1179</v>
      </c>
      <c r="F226"/>
    </row>
    <row r="227" spans="1:6">
      <c r="A227" s="17" t="str">
        <f>DEC2HEX(INT(HEX2DEC(SUBSTITUTE('full nvm map'!$G$308,"0x",""))+HEX2DEC(E227)))&amp;"h"</f>
        <v>2DBh</v>
      </c>
      <c r="B227" s="14" t="s">
        <v>328</v>
      </c>
      <c r="C227" s="1" t="s">
        <v>798</v>
      </c>
      <c r="D227" s="1" t="s">
        <v>873</v>
      </c>
      <c r="E227" s="14" t="s">
        <v>1180</v>
      </c>
      <c r="F227"/>
    </row>
    <row r="228" spans="1:6">
      <c r="A228" s="17" t="str">
        <f>DEC2HEX(INT(HEX2DEC(SUBSTITUTE('full nvm map'!$G$308,"0x",""))+HEX2DEC(E228)))&amp;"h"</f>
        <v>2DCh</v>
      </c>
      <c r="B228" s="14" t="s">
        <v>328</v>
      </c>
      <c r="C228" s="1" t="s">
        <v>798</v>
      </c>
      <c r="D228" s="1" t="s">
        <v>873</v>
      </c>
      <c r="E228" s="14" t="s">
        <v>1181</v>
      </c>
      <c r="F228"/>
    </row>
    <row r="229" spans="1:6">
      <c r="A229" s="17" t="str">
        <f>DEC2HEX(INT(HEX2DEC(SUBSTITUTE('full nvm map'!$G$308,"0x",""))+HEX2DEC(E229)))&amp;"h"</f>
        <v>2DDh</v>
      </c>
      <c r="B229" s="14" t="s">
        <v>328</v>
      </c>
      <c r="C229" s="1" t="s">
        <v>798</v>
      </c>
      <c r="D229" s="1" t="s">
        <v>873</v>
      </c>
      <c r="E229" s="14" t="s">
        <v>1182</v>
      </c>
      <c r="F229"/>
    </row>
    <row r="230" spans="1:6">
      <c r="A230" s="17" t="str">
        <f>DEC2HEX(INT(HEX2DEC(SUBSTITUTE('full nvm map'!$G$308,"0x",""))+HEX2DEC(E230)))&amp;"h"</f>
        <v>2DEh</v>
      </c>
      <c r="B230" s="14" t="s">
        <v>328</v>
      </c>
      <c r="C230" s="1" t="s">
        <v>798</v>
      </c>
      <c r="D230" s="1" t="s">
        <v>873</v>
      </c>
      <c r="E230" s="14" t="s">
        <v>1183</v>
      </c>
      <c r="F230"/>
    </row>
    <row r="231" spans="1:6">
      <c r="A231" s="17" t="str">
        <f>DEC2HEX(INT(HEX2DEC(SUBSTITUTE('full nvm map'!$G$308,"0x",""))+HEX2DEC(E231)))&amp;"h"</f>
        <v>2DFh</v>
      </c>
      <c r="B231" s="14" t="s">
        <v>328</v>
      </c>
      <c r="C231" s="1" t="s">
        <v>798</v>
      </c>
      <c r="D231" s="1" t="s">
        <v>873</v>
      </c>
      <c r="E231" s="14" t="s">
        <v>1184</v>
      </c>
      <c r="F231"/>
    </row>
    <row r="232" spans="1:6">
      <c r="A232" s="17" t="str">
        <f>DEC2HEX(INT(HEX2DEC(SUBSTITUTE('full nvm map'!$G$308,"0x",""))+HEX2DEC(E232)))&amp;"h"</f>
        <v>2E0h</v>
      </c>
      <c r="B232" s="14" t="s">
        <v>328</v>
      </c>
      <c r="C232" s="1" t="s">
        <v>798</v>
      </c>
      <c r="D232" s="1" t="s">
        <v>873</v>
      </c>
      <c r="E232" s="14" t="s">
        <v>1185</v>
      </c>
      <c r="F232"/>
    </row>
    <row r="233" spans="1:6">
      <c r="A233" s="17" t="str">
        <f>DEC2HEX(INT(HEX2DEC(SUBSTITUTE('full nvm map'!$G$308,"0x",""))+HEX2DEC(E233)))&amp;"h"</f>
        <v>2E1h</v>
      </c>
      <c r="B233" s="14" t="s">
        <v>328</v>
      </c>
      <c r="C233" s="1" t="s">
        <v>798</v>
      </c>
      <c r="D233" s="1" t="s">
        <v>873</v>
      </c>
      <c r="E233" s="14" t="s">
        <v>1186</v>
      </c>
      <c r="F233"/>
    </row>
    <row r="234" spans="1:6">
      <c r="A234" s="17" t="str">
        <f>DEC2HEX(INT(HEX2DEC(SUBSTITUTE('full nvm map'!$G$308,"0x",""))+HEX2DEC(E234)))&amp;"h"</f>
        <v>2E2h</v>
      </c>
      <c r="B234" s="14" t="s">
        <v>328</v>
      </c>
      <c r="C234" s="1" t="s">
        <v>798</v>
      </c>
      <c r="D234" s="1" t="s">
        <v>873</v>
      </c>
      <c r="E234" s="14" t="s">
        <v>1187</v>
      </c>
      <c r="F234"/>
    </row>
    <row r="235" spans="1:6">
      <c r="A235" s="17" t="str">
        <f>DEC2HEX(INT(HEX2DEC(SUBSTITUTE('full nvm map'!$G$308,"0x",""))+HEX2DEC(E235)))&amp;"h"</f>
        <v>2E3h</v>
      </c>
      <c r="B235" s="14" t="s">
        <v>328</v>
      </c>
      <c r="C235" s="1" t="s">
        <v>798</v>
      </c>
      <c r="D235" s="1" t="s">
        <v>873</v>
      </c>
      <c r="E235" s="14" t="s">
        <v>1188</v>
      </c>
      <c r="F235"/>
    </row>
    <row r="236" spans="1:6">
      <c r="A236" s="17" t="str">
        <f>DEC2HEX(INT(HEX2DEC(SUBSTITUTE('full nvm map'!$G$308,"0x",""))+HEX2DEC(E236)))&amp;"h"</f>
        <v>2E4h</v>
      </c>
      <c r="B236" s="14" t="s">
        <v>328</v>
      </c>
      <c r="C236" s="1" t="s">
        <v>798</v>
      </c>
      <c r="D236" s="1" t="s">
        <v>873</v>
      </c>
      <c r="E236" s="14" t="s">
        <v>1189</v>
      </c>
      <c r="F236"/>
    </row>
    <row r="237" spans="1:6">
      <c r="A237" s="17" t="str">
        <f>DEC2HEX(INT(HEX2DEC(SUBSTITUTE('full nvm map'!$G$308,"0x",""))+HEX2DEC(E237)))&amp;"h"</f>
        <v>2E5h</v>
      </c>
      <c r="B237" s="14" t="s">
        <v>328</v>
      </c>
      <c r="C237" s="1" t="s">
        <v>798</v>
      </c>
      <c r="D237" s="1" t="s">
        <v>873</v>
      </c>
      <c r="E237" s="14" t="s">
        <v>1190</v>
      </c>
      <c r="F237"/>
    </row>
    <row r="238" spans="1:6">
      <c r="A238" s="17" t="str">
        <f>DEC2HEX(INT(HEX2DEC(SUBSTITUTE('full nvm map'!$G$308,"0x",""))+HEX2DEC(E238)))&amp;"h"</f>
        <v>2E6h</v>
      </c>
      <c r="B238" s="14" t="s">
        <v>328</v>
      </c>
      <c r="C238" s="1" t="s">
        <v>798</v>
      </c>
      <c r="D238" s="1" t="s">
        <v>873</v>
      </c>
      <c r="E238" s="14" t="s">
        <v>1191</v>
      </c>
      <c r="F238"/>
    </row>
    <row r="239" spans="1:6">
      <c r="A239" s="17" t="str">
        <f>DEC2HEX(INT(HEX2DEC(SUBSTITUTE('full nvm map'!$G$308,"0x",""))+HEX2DEC(E239)))&amp;"h"</f>
        <v>2E7h</v>
      </c>
      <c r="B239" s="14" t="s">
        <v>328</v>
      </c>
      <c r="C239" s="1" t="s">
        <v>798</v>
      </c>
      <c r="D239" s="1" t="s">
        <v>873</v>
      </c>
      <c r="E239" s="14" t="s">
        <v>1192</v>
      </c>
      <c r="F239"/>
    </row>
    <row r="240" spans="1:6">
      <c r="A240" s="17" t="str">
        <f>DEC2HEX(INT(HEX2DEC(SUBSTITUTE('full nvm map'!$G$308,"0x",""))+HEX2DEC(E240)))&amp;"h"</f>
        <v>2E8h</v>
      </c>
      <c r="B240" s="14" t="s">
        <v>328</v>
      </c>
      <c r="C240" s="1" t="s">
        <v>798</v>
      </c>
      <c r="D240" s="1" t="s">
        <v>873</v>
      </c>
      <c r="E240" s="14" t="s">
        <v>1193</v>
      </c>
      <c r="F240"/>
    </row>
    <row r="241" spans="1:6">
      <c r="A241" s="17" t="str">
        <f>DEC2HEX(INT(HEX2DEC(SUBSTITUTE('full nvm map'!$G$308,"0x",""))+HEX2DEC(E241)))&amp;"h"</f>
        <v>2E9h</v>
      </c>
      <c r="B241" s="14" t="s">
        <v>328</v>
      </c>
      <c r="C241" s="1" t="s">
        <v>798</v>
      </c>
      <c r="D241" s="1" t="s">
        <v>873</v>
      </c>
      <c r="E241" s="14" t="s">
        <v>1194</v>
      </c>
      <c r="F241"/>
    </row>
    <row r="242" spans="1:6">
      <c r="A242" s="17" t="str">
        <f>DEC2HEX(INT(HEX2DEC(SUBSTITUTE('full nvm map'!$G$308,"0x",""))+HEX2DEC(E242)))&amp;"h"</f>
        <v>2EAh</v>
      </c>
      <c r="B242" s="14" t="s">
        <v>328</v>
      </c>
      <c r="C242" s="1" t="s">
        <v>798</v>
      </c>
      <c r="D242" s="1" t="s">
        <v>873</v>
      </c>
      <c r="E242" s="14" t="s">
        <v>1195</v>
      </c>
      <c r="F242"/>
    </row>
    <row r="243" spans="1:6">
      <c r="A243" s="17" t="str">
        <f>DEC2HEX(INT(HEX2DEC(SUBSTITUTE('full nvm map'!$G$308,"0x",""))+HEX2DEC(E243)))&amp;"h"</f>
        <v>2EBh</v>
      </c>
      <c r="B243" s="14" t="s">
        <v>328</v>
      </c>
      <c r="C243" s="1" t="s">
        <v>798</v>
      </c>
      <c r="D243" s="1" t="s">
        <v>873</v>
      </c>
      <c r="E243" s="14" t="s">
        <v>1196</v>
      </c>
      <c r="F243"/>
    </row>
    <row r="244" spans="1:6">
      <c r="A244" s="17" t="str">
        <f>DEC2HEX(INT(HEX2DEC(SUBSTITUTE('full nvm map'!$G$308,"0x",""))+HEX2DEC(E244)))&amp;"h"</f>
        <v>2ECh</v>
      </c>
      <c r="B244" s="14" t="s">
        <v>328</v>
      </c>
      <c r="C244" s="1" t="s">
        <v>798</v>
      </c>
      <c r="D244" s="1" t="s">
        <v>873</v>
      </c>
      <c r="E244" s="14" t="s">
        <v>1197</v>
      </c>
      <c r="F244"/>
    </row>
    <row r="245" spans="1:6">
      <c r="A245" s="17" t="str">
        <f>DEC2HEX(INT(HEX2DEC(SUBSTITUTE('full nvm map'!$G$308,"0x",""))+HEX2DEC(E245)))&amp;"h"</f>
        <v>2EDh</v>
      </c>
      <c r="B245" s="14" t="s">
        <v>328</v>
      </c>
      <c r="C245" s="1" t="s">
        <v>798</v>
      </c>
      <c r="D245" s="1" t="s">
        <v>873</v>
      </c>
      <c r="E245" s="14" t="s">
        <v>1198</v>
      </c>
      <c r="F245"/>
    </row>
    <row r="246" spans="1:6">
      <c r="A246" s="17" t="str">
        <f>DEC2HEX(INT(HEX2DEC(SUBSTITUTE('full nvm map'!$G$308,"0x",""))+HEX2DEC(E246)))&amp;"h"</f>
        <v>2EEh</v>
      </c>
      <c r="B246" s="14" t="s">
        <v>328</v>
      </c>
      <c r="C246" s="1" t="s">
        <v>798</v>
      </c>
      <c r="D246" s="1" t="s">
        <v>873</v>
      </c>
      <c r="E246" s="14" t="s">
        <v>1199</v>
      </c>
      <c r="F246"/>
    </row>
    <row r="247" spans="1:6">
      <c r="A247" s="17" t="str">
        <f>DEC2HEX(INT(HEX2DEC(SUBSTITUTE('full nvm map'!$G$308,"0x",""))+HEX2DEC(E247)))&amp;"h"</f>
        <v>2EFh</v>
      </c>
      <c r="B247" s="14" t="s">
        <v>328</v>
      </c>
      <c r="C247" s="1" t="s">
        <v>798</v>
      </c>
      <c r="D247" s="1" t="s">
        <v>873</v>
      </c>
      <c r="E247" s="14" t="s">
        <v>1200</v>
      </c>
      <c r="F247"/>
    </row>
    <row r="248" spans="1:6">
      <c r="A248" s="17" t="str">
        <f>DEC2HEX(INT(HEX2DEC(SUBSTITUTE('full nvm map'!$G$308,"0x",""))+HEX2DEC(E248)))&amp;"h"</f>
        <v>2F0h</v>
      </c>
      <c r="B248" s="14" t="s">
        <v>328</v>
      </c>
      <c r="C248" s="1" t="s">
        <v>798</v>
      </c>
      <c r="D248" s="1" t="s">
        <v>873</v>
      </c>
      <c r="E248" s="14" t="s">
        <v>1201</v>
      </c>
      <c r="F248"/>
    </row>
    <row r="249" spans="1:6">
      <c r="A249" s="17" t="str">
        <f>DEC2HEX(INT(HEX2DEC(SUBSTITUTE('full nvm map'!$G$308,"0x",""))+HEX2DEC(E249)))&amp;"h"</f>
        <v>2F1h</v>
      </c>
      <c r="B249" s="14" t="s">
        <v>328</v>
      </c>
      <c r="C249" s="1" t="s">
        <v>798</v>
      </c>
      <c r="D249" s="1" t="s">
        <v>873</v>
      </c>
      <c r="E249" s="14" t="s">
        <v>1202</v>
      </c>
      <c r="F249"/>
    </row>
    <row r="250" spans="1:6">
      <c r="A250" s="17" t="str">
        <f>DEC2HEX(INT(HEX2DEC(SUBSTITUTE('full nvm map'!$G$308,"0x",""))+HEX2DEC(E250)))&amp;"h"</f>
        <v>2F2h</v>
      </c>
      <c r="B250" s="14" t="s">
        <v>328</v>
      </c>
      <c r="C250" s="1" t="s">
        <v>798</v>
      </c>
      <c r="D250" s="1" t="s">
        <v>873</v>
      </c>
      <c r="E250" s="14" t="s">
        <v>1203</v>
      </c>
      <c r="F250"/>
    </row>
    <row r="251" spans="1:6">
      <c r="A251" s="17" t="str">
        <f>DEC2HEX(INT(HEX2DEC(SUBSTITUTE('full nvm map'!$G$308,"0x",""))+HEX2DEC(E251)))&amp;"h"</f>
        <v>2F3h</v>
      </c>
      <c r="B251" s="14" t="s">
        <v>328</v>
      </c>
      <c r="C251" s="1" t="s">
        <v>798</v>
      </c>
      <c r="D251" s="1" t="s">
        <v>873</v>
      </c>
      <c r="E251" s="14" t="s">
        <v>1204</v>
      </c>
      <c r="F251"/>
    </row>
    <row r="252" spans="1:6">
      <c r="A252" s="17" t="str">
        <f>DEC2HEX(INT(HEX2DEC(SUBSTITUTE('full nvm map'!$G$308,"0x",""))+HEX2DEC(E252)))&amp;"h"</f>
        <v>2F4h</v>
      </c>
      <c r="B252" s="14" t="s">
        <v>328</v>
      </c>
      <c r="C252" s="1" t="s">
        <v>798</v>
      </c>
      <c r="D252" s="1" t="s">
        <v>873</v>
      </c>
      <c r="E252" s="14" t="s">
        <v>1205</v>
      </c>
      <c r="F252"/>
    </row>
    <row r="253" spans="1:6">
      <c r="A253" s="17" t="str">
        <f>DEC2HEX(INT(HEX2DEC(SUBSTITUTE('full nvm map'!$G$308,"0x",""))+HEX2DEC(E253)))&amp;"h"</f>
        <v>2F5h</v>
      </c>
      <c r="B253" s="14" t="s">
        <v>328</v>
      </c>
      <c r="C253" s="1" t="s">
        <v>798</v>
      </c>
      <c r="D253" s="1" t="s">
        <v>873</v>
      </c>
      <c r="E253" s="14" t="s">
        <v>1206</v>
      </c>
      <c r="F253"/>
    </row>
    <row r="254" spans="1:6">
      <c r="A254" s="17" t="str">
        <f>DEC2HEX(INT(HEX2DEC(SUBSTITUTE('full nvm map'!$G$308,"0x",""))+HEX2DEC(E254)))&amp;"h"</f>
        <v>2F6h</v>
      </c>
      <c r="B254" s="14" t="s">
        <v>328</v>
      </c>
      <c r="C254" s="1" t="s">
        <v>798</v>
      </c>
      <c r="D254" s="1" t="s">
        <v>873</v>
      </c>
      <c r="E254" s="14" t="s">
        <v>1207</v>
      </c>
      <c r="F254"/>
    </row>
    <row r="255" spans="1:6">
      <c r="A255" s="17" t="str">
        <f>DEC2HEX(INT(HEX2DEC(SUBSTITUTE('full nvm map'!$G$308,"0x",""))+HEX2DEC(E255)))&amp;"h"</f>
        <v>2F7h</v>
      </c>
      <c r="B255" s="14" t="s">
        <v>328</v>
      </c>
      <c r="C255" s="1" t="s">
        <v>798</v>
      </c>
      <c r="D255" s="1" t="s">
        <v>873</v>
      </c>
      <c r="E255" s="14" t="s">
        <v>1208</v>
      </c>
      <c r="F255"/>
    </row>
    <row r="256" spans="1:6">
      <c r="A256" s="17" t="str">
        <f>DEC2HEX(INT(HEX2DEC(SUBSTITUTE('full nvm map'!$G$308,"0x",""))+HEX2DEC(E256)))&amp;"h"</f>
        <v>2F8h</v>
      </c>
      <c r="B256" s="14" t="s">
        <v>328</v>
      </c>
      <c r="C256" s="1" t="s">
        <v>798</v>
      </c>
      <c r="D256" s="1" t="s">
        <v>873</v>
      </c>
      <c r="E256" s="14" t="s">
        <v>1209</v>
      </c>
      <c r="F256"/>
    </row>
    <row r="257" spans="1:6">
      <c r="A257" s="17" t="str">
        <f>DEC2HEX(INT(HEX2DEC(SUBSTITUTE('full nvm map'!$G$308,"0x",""))+HEX2DEC(E257)))&amp;"h"</f>
        <v>2F9h</v>
      </c>
      <c r="B257" s="14" t="s">
        <v>328</v>
      </c>
      <c r="C257" s="1" t="s">
        <v>798</v>
      </c>
      <c r="D257" s="1" t="s">
        <v>873</v>
      </c>
      <c r="E257" s="14" t="s">
        <v>1210</v>
      </c>
      <c r="F257"/>
    </row>
    <row r="258" spans="1:6">
      <c r="A258" s="17" t="str">
        <f>DEC2HEX(INT(HEX2DEC(SUBSTITUTE('full nvm map'!$G$308,"0x",""))+HEX2DEC(E258)))&amp;"h"</f>
        <v>2FAh</v>
      </c>
      <c r="B258" s="14" t="s">
        <v>328</v>
      </c>
      <c r="C258" s="1" t="s">
        <v>798</v>
      </c>
      <c r="D258" s="1" t="s">
        <v>873</v>
      </c>
      <c r="E258" s="14" t="s">
        <v>1211</v>
      </c>
      <c r="F258"/>
    </row>
    <row r="259" spans="1:6">
      <c r="A259" s="17" t="str">
        <f>DEC2HEX(INT(HEX2DEC(SUBSTITUTE('full nvm map'!$G$308,"0x",""))+HEX2DEC(E259)))&amp;"h"</f>
        <v>2FBh</v>
      </c>
      <c r="B259" s="14" t="s">
        <v>328</v>
      </c>
      <c r="C259" s="1" t="s">
        <v>798</v>
      </c>
      <c r="D259" s="1" t="s">
        <v>873</v>
      </c>
      <c r="E259" s="14" t="s">
        <v>1212</v>
      </c>
      <c r="F259"/>
    </row>
    <row r="260" spans="1:6">
      <c r="A260" s="17" t="str">
        <f>DEC2HEX(INT(HEX2DEC(SUBSTITUTE('full nvm map'!$G$308,"0x",""))+HEX2DEC(E260)))&amp;"h"</f>
        <v>2FCh</v>
      </c>
      <c r="B260" s="14" t="s">
        <v>328</v>
      </c>
      <c r="C260" s="1" t="s">
        <v>798</v>
      </c>
      <c r="D260" s="1" t="s">
        <v>873</v>
      </c>
      <c r="E260" s="14" t="s">
        <v>1213</v>
      </c>
      <c r="F260"/>
    </row>
    <row r="261" spans="1:6">
      <c r="A261" s="17" t="str">
        <f>DEC2HEX(INT(HEX2DEC(SUBSTITUTE('full nvm map'!$G$308,"0x",""))+HEX2DEC(E261)))&amp;"h"</f>
        <v>2FDh</v>
      </c>
      <c r="B261" s="14" t="s">
        <v>328</v>
      </c>
      <c r="C261" s="1" t="s">
        <v>798</v>
      </c>
      <c r="D261" s="1" t="s">
        <v>873</v>
      </c>
      <c r="E261" s="14" t="s">
        <v>1214</v>
      </c>
      <c r="F261"/>
    </row>
    <row r="262" spans="1:6">
      <c r="A262" s="17" t="str">
        <f>DEC2HEX(INT(HEX2DEC(SUBSTITUTE('full nvm map'!$G$308,"0x",""))+HEX2DEC(E262)))&amp;"h"</f>
        <v>2FEh</v>
      </c>
      <c r="B262" s="14" t="s">
        <v>328</v>
      </c>
      <c r="C262" s="1" t="s">
        <v>798</v>
      </c>
      <c r="D262" s="1" t="s">
        <v>873</v>
      </c>
      <c r="E262" s="14" t="s">
        <v>1215</v>
      </c>
      <c r="F262"/>
    </row>
    <row r="263" spans="1:6">
      <c r="A263" s="17" t="str">
        <f>DEC2HEX(INT(HEX2DEC(SUBSTITUTE('full nvm map'!$G$308,"0x",""))+HEX2DEC(E263)))&amp;"h"</f>
        <v>2FFh</v>
      </c>
      <c r="B263" s="14" t="s">
        <v>328</v>
      </c>
      <c r="C263" s="1" t="s">
        <v>798</v>
      </c>
      <c r="D263" s="1" t="s">
        <v>873</v>
      </c>
      <c r="E263" s="14" t="s">
        <v>1216</v>
      </c>
      <c r="F263"/>
    </row>
    <row r="264" spans="1:6">
      <c r="A264" s="17" t="str">
        <f>DEC2HEX(INT(HEX2DEC(SUBSTITUTE('full nvm map'!$G$308,"0x",""))+HEX2DEC(E264)))&amp;"h"</f>
        <v>300h</v>
      </c>
      <c r="B264" s="14" t="s">
        <v>328</v>
      </c>
      <c r="C264" s="1" t="s">
        <v>798</v>
      </c>
      <c r="D264" s="1" t="s">
        <v>873</v>
      </c>
      <c r="E264" s="14" t="s">
        <v>967</v>
      </c>
      <c r="F264"/>
    </row>
    <row r="265" spans="1:6">
      <c r="A265" s="17" t="str">
        <f>DEC2HEX(INT(HEX2DEC(SUBSTITUTE('full nvm map'!$G$308,"0x",""))+HEX2DEC(E265)))&amp;"h"</f>
        <v>301h</v>
      </c>
      <c r="B265" s="14" t="s">
        <v>328</v>
      </c>
      <c r="C265" s="1" t="s">
        <v>798</v>
      </c>
      <c r="D265" s="1" t="s">
        <v>873</v>
      </c>
      <c r="E265" s="14" t="s">
        <v>968</v>
      </c>
      <c r="F265"/>
    </row>
    <row r="266" spans="1:6">
      <c r="A266" s="17" t="str">
        <f>DEC2HEX(INT(HEX2DEC(SUBSTITUTE('full nvm map'!$G$308,"0x",""))+HEX2DEC(E266)))&amp;"h"</f>
        <v>302h</v>
      </c>
      <c r="B266" s="14" t="s">
        <v>328</v>
      </c>
      <c r="C266" s="1" t="s">
        <v>798</v>
      </c>
      <c r="D266" s="1" t="s">
        <v>873</v>
      </c>
      <c r="E266" s="14" t="s">
        <v>969</v>
      </c>
      <c r="F266"/>
    </row>
    <row r="267" spans="1:6">
      <c r="A267" s="17" t="str">
        <f>DEC2HEX(INT(HEX2DEC(SUBSTITUTE('full nvm map'!$G$308,"0x",""))+HEX2DEC(E267)))&amp;"h"</f>
        <v>303h</v>
      </c>
      <c r="B267" s="14" t="s">
        <v>328</v>
      </c>
      <c r="C267" s="1" t="s">
        <v>798</v>
      </c>
      <c r="D267" s="1" t="s">
        <v>873</v>
      </c>
      <c r="E267" s="14" t="s">
        <v>970</v>
      </c>
      <c r="F267"/>
    </row>
    <row r="268" spans="1:6">
      <c r="A268" s="17" t="str">
        <f>DEC2HEX(INT(HEX2DEC(SUBSTITUTE('full nvm map'!$G$308,"0x",""))+HEX2DEC(E268)))&amp;"h"</f>
        <v>304h</v>
      </c>
      <c r="B268" s="14" t="s">
        <v>328</v>
      </c>
      <c r="C268" s="1" t="s">
        <v>798</v>
      </c>
      <c r="D268" s="1" t="s">
        <v>873</v>
      </c>
      <c r="E268" s="14" t="s">
        <v>971</v>
      </c>
      <c r="F268"/>
    </row>
    <row r="269" spans="1:6">
      <c r="A269" s="17" t="str">
        <f>DEC2HEX(INT(HEX2DEC(SUBSTITUTE('full nvm map'!$G$308,"0x",""))+HEX2DEC(E269)))&amp;"h"</f>
        <v>305h</v>
      </c>
      <c r="B269" s="14" t="s">
        <v>328</v>
      </c>
      <c r="C269" s="1" t="s">
        <v>798</v>
      </c>
      <c r="D269" s="1" t="s">
        <v>873</v>
      </c>
      <c r="E269" s="14" t="s">
        <v>972</v>
      </c>
      <c r="F269"/>
    </row>
    <row r="270" spans="1:6">
      <c r="A270" s="17" t="str">
        <f>DEC2HEX(INT(HEX2DEC(SUBSTITUTE('full nvm map'!$G$308,"0x",""))+HEX2DEC(E270)))&amp;"h"</f>
        <v>306h</v>
      </c>
      <c r="B270" s="14" t="s">
        <v>328</v>
      </c>
      <c r="C270" s="1" t="s">
        <v>798</v>
      </c>
      <c r="D270" s="1" t="s">
        <v>873</v>
      </c>
      <c r="E270" s="14" t="s">
        <v>973</v>
      </c>
      <c r="F270"/>
    </row>
    <row r="271" spans="1:6">
      <c r="A271" s="17" t="str">
        <f>DEC2HEX(INT(HEX2DEC(SUBSTITUTE('full nvm map'!$G$308,"0x",""))+HEX2DEC(E271)))&amp;"h"</f>
        <v>307h</v>
      </c>
      <c r="B271" s="14" t="s">
        <v>328</v>
      </c>
      <c r="C271" s="1" t="s">
        <v>798</v>
      </c>
      <c r="D271" s="1" t="s">
        <v>873</v>
      </c>
      <c r="E271" s="14" t="s">
        <v>974</v>
      </c>
      <c r="F271"/>
    </row>
    <row r="272" spans="1:6">
      <c r="A272" s="17" t="str">
        <f>DEC2HEX(INT(HEX2DEC(SUBSTITUTE('full nvm map'!$G$308,"0x",""))+HEX2DEC(E272)))&amp;"h"</f>
        <v>308h</v>
      </c>
      <c r="B272" s="14" t="s">
        <v>328</v>
      </c>
      <c r="C272" s="1" t="s">
        <v>798</v>
      </c>
      <c r="D272" s="1" t="s">
        <v>873</v>
      </c>
      <c r="E272" s="14" t="s">
        <v>975</v>
      </c>
      <c r="F272"/>
    </row>
    <row r="273" spans="1:6">
      <c r="A273" s="17" t="str">
        <f>DEC2HEX(INT(HEX2DEC(SUBSTITUTE('full nvm map'!$G$308,"0x",""))+HEX2DEC(E273)))&amp;"h"</f>
        <v>309h</v>
      </c>
      <c r="B273" s="14" t="s">
        <v>328</v>
      </c>
      <c r="C273" s="1" t="s">
        <v>798</v>
      </c>
      <c r="D273" s="1" t="s">
        <v>873</v>
      </c>
      <c r="E273" s="14" t="s">
        <v>976</v>
      </c>
      <c r="F273"/>
    </row>
    <row r="274" spans="1:6">
      <c r="A274" s="17" t="str">
        <f>DEC2HEX(INT(HEX2DEC(SUBSTITUTE('full nvm map'!$G$308,"0x",""))+HEX2DEC(E274)))&amp;"h"</f>
        <v>30Ah</v>
      </c>
      <c r="B274" s="14" t="s">
        <v>328</v>
      </c>
      <c r="C274" s="1" t="s">
        <v>798</v>
      </c>
      <c r="D274" s="1" t="s">
        <v>873</v>
      </c>
      <c r="E274" s="14" t="s">
        <v>1217</v>
      </c>
      <c r="F274"/>
    </row>
    <row r="275" spans="1:6">
      <c r="A275" s="17" t="str">
        <f>DEC2HEX(INT(HEX2DEC(SUBSTITUTE('full nvm map'!$G$308,"0x",""))+HEX2DEC(E275)))&amp;"h"</f>
        <v>30Bh</v>
      </c>
      <c r="B275" s="14" t="s">
        <v>328</v>
      </c>
      <c r="C275" s="1" t="s">
        <v>798</v>
      </c>
      <c r="D275" s="1" t="s">
        <v>873</v>
      </c>
      <c r="E275" s="14" t="s">
        <v>1218</v>
      </c>
      <c r="F275"/>
    </row>
    <row r="276" spans="1:6">
      <c r="A276" s="17" t="str">
        <f>DEC2HEX(INT(HEX2DEC(SUBSTITUTE('full nvm map'!$G$308,"0x",""))+HEX2DEC(E276)))&amp;"h"</f>
        <v>30Ch</v>
      </c>
      <c r="B276" s="14" t="s">
        <v>328</v>
      </c>
      <c r="C276" s="1" t="s">
        <v>798</v>
      </c>
      <c r="D276" s="1" t="s">
        <v>873</v>
      </c>
      <c r="E276" s="14" t="s">
        <v>1219</v>
      </c>
      <c r="F276"/>
    </row>
    <row r="277" spans="1:6">
      <c r="A277" s="17" t="str">
        <f>DEC2HEX(INT(HEX2DEC(SUBSTITUTE('full nvm map'!$G$308,"0x",""))+HEX2DEC(E277)))&amp;"h"</f>
        <v>30Dh</v>
      </c>
      <c r="B277" s="14" t="s">
        <v>328</v>
      </c>
      <c r="C277" s="1" t="s">
        <v>798</v>
      </c>
      <c r="D277" s="1" t="s">
        <v>873</v>
      </c>
      <c r="E277" s="14" t="s">
        <v>1220</v>
      </c>
      <c r="F277"/>
    </row>
    <row r="278" spans="1:6">
      <c r="A278" s="17" t="str">
        <f>DEC2HEX(INT(HEX2DEC(SUBSTITUTE('full nvm map'!$G$308,"0x",""))+HEX2DEC(E278)))&amp;"h"</f>
        <v>30Eh</v>
      </c>
      <c r="B278" s="14" t="s">
        <v>328</v>
      </c>
      <c r="C278" s="1" t="s">
        <v>798</v>
      </c>
      <c r="D278" s="1" t="s">
        <v>873</v>
      </c>
      <c r="E278" s="14" t="s">
        <v>1221</v>
      </c>
      <c r="F278"/>
    </row>
    <row r="279" spans="1:6">
      <c r="A279" s="17" t="str">
        <f>DEC2HEX(INT(HEX2DEC(SUBSTITUTE('full nvm map'!$G$308,"0x",""))+HEX2DEC(E279)))&amp;"h"</f>
        <v>30Fh</v>
      </c>
      <c r="B279" s="14" t="s">
        <v>328</v>
      </c>
      <c r="C279" s="1" t="s">
        <v>798</v>
      </c>
      <c r="D279" s="1" t="s">
        <v>873</v>
      </c>
      <c r="E279" s="14" t="s">
        <v>1222</v>
      </c>
      <c r="F279"/>
    </row>
    <row r="280" spans="1:6">
      <c r="A280" s="17" t="str">
        <f>DEC2HEX(INT(HEX2DEC(SUBSTITUTE('full nvm map'!$G$308,"0x",""))+HEX2DEC(E280)))&amp;"h"</f>
        <v>310h</v>
      </c>
      <c r="B280" s="14" t="s">
        <v>328</v>
      </c>
      <c r="C280" s="1" t="s">
        <v>798</v>
      </c>
      <c r="D280" s="1" t="s">
        <v>873</v>
      </c>
      <c r="E280" s="14" t="s">
        <v>977</v>
      </c>
      <c r="F280"/>
    </row>
    <row r="281" spans="1:6">
      <c r="A281" s="17" t="str">
        <f>DEC2HEX(INT(HEX2DEC(SUBSTITUTE('full nvm map'!$G$308,"0x",""))+HEX2DEC(E281)))&amp;"h"</f>
        <v>311h</v>
      </c>
      <c r="B281" s="14" t="s">
        <v>328</v>
      </c>
      <c r="C281" s="1" t="s">
        <v>798</v>
      </c>
      <c r="D281" s="1" t="s">
        <v>873</v>
      </c>
      <c r="E281" s="14" t="s">
        <v>978</v>
      </c>
      <c r="F281"/>
    </row>
    <row r="282" spans="1:6">
      <c r="A282" s="17" t="str">
        <f>DEC2HEX(INT(HEX2DEC(SUBSTITUTE('full nvm map'!$G$308,"0x",""))+HEX2DEC(E282)))&amp;"h"</f>
        <v>312h</v>
      </c>
      <c r="B282" s="14" t="s">
        <v>328</v>
      </c>
      <c r="C282" s="1" t="s">
        <v>798</v>
      </c>
      <c r="D282" s="1" t="s">
        <v>873</v>
      </c>
      <c r="E282" s="14" t="s">
        <v>979</v>
      </c>
      <c r="F282"/>
    </row>
    <row r="283" spans="1:6">
      <c r="A283" s="17" t="str">
        <f>DEC2HEX(INT(HEX2DEC(SUBSTITUTE('full nvm map'!$G$308,"0x",""))+HEX2DEC(E283)))&amp;"h"</f>
        <v>313h</v>
      </c>
      <c r="B283" s="14" t="s">
        <v>328</v>
      </c>
      <c r="C283" s="1" t="s">
        <v>798</v>
      </c>
      <c r="D283" s="1" t="s">
        <v>873</v>
      </c>
      <c r="E283" s="14" t="s">
        <v>980</v>
      </c>
      <c r="F283"/>
    </row>
    <row r="284" spans="1:6">
      <c r="A284" s="17" t="str">
        <f>DEC2HEX(INT(HEX2DEC(SUBSTITUTE('full nvm map'!$G$308,"0x",""))+HEX2DEC(E284)))&amp;"h"</f>
        <v>314h</v>
      </c>
      <c r="B284" s="14" t="s">
        <v>328</v>
      </c>
      <c r="C284" s="1" t="s">
        <v>798</v>
      </c>
      <c r="D284" s="1" t="s">
        <v>873</v>
      </c>
      <c r="E284" s="14" t="s">
        <v>981</v>
      </c>
      <c r="F284"/>
    </row>
    <row r="285" spans="1:6">
      <c r="A285" s="17" t="str">
        <f>DEC2HEX(INT(HEX2DEC(SUBSTITUTE('full nvm map'!$G$308,"0x",""))+HEX2DEC(E285)))&amp;"h"</f>
        <v>315h</v>
      </c>
      <c r="B285" s="14" t="s">
        <v>328</v>
      </c>
      <c r="C285" s="1" t="s">
        <v>798</v>
      </c>
      <c r="D285" s="1" t="s">
        <v>873</v>
      </c>
      <c r="E285" s="14" t="s">
        <v>982</v>
      </c>
      <c r="F285"/>
    </row>
    <row r="286" spans="1:6">
      <c r="A286" s="17" t="str">
        <f>DEC2HEX(INT(HEX2DEC(SUBSTITUTE('full nvm map'!$G$308,"0x",""))+HEX2DEC(E286)))&amp;"h"</f>
        <v>316h</v>
      </c>
      <c r="B286" s="14" t="s">
        <v>328</v>
      </c>
      <c r="C286" s="1" t="s">
        <v>798</v>
      </c>
      <c r="D286" s="1" t="s">
        <v>873</v>
      </c>
      <c r="E286" s="14" t="s">
        <v>983</v>
      </c>
      <c r="F286"/>
    </row>
    <row r="287" spans="1:6">
      <c r="A287" s="17" t="str">
        <f>DEC2HEX(INT(HEX2DEC(SUBSTITUTE('full nvm map'!$G$308,"0x",""))+HEX2DEC(E287)))&amp;"h"</f>
        <v>317h</v>
      </c>
      <c r="B287" s="14" t="s">
        <v>328</v>
      </c>
      <c r="C287" s="1" t="s">
        <v>798</v>
      </c>
      <c r="D287" s="1" t="s">
        <v>873</v>
      </c>
      <c r="E287" s="14" t="s">
        <v>984</v>
      </c>
      <c r="F287"/>
    </row>
    <row r="288" spans="1:6">
      <c r="A288" s="17" t="str">
        <f>DEC2HEX(INT(HEX2DEC(SUBSTITUTE('full nvm map'!$G$308,"0x",""))+HEX2DEC(E288)))&amp;"h"</f>
        <v>318h</v>
      </c>
      <c r="B288" s="14" t="s">
        <v>328</v>
      </c>
      <c r="C288" s="1" t="s">
        <v>798</v>
      </c>
      <c r="D288" s="1" t="s">
        <v>873</v>
      </c>
      <c r="E288" s="14" t="s">
        <v>985</v>
      </c>
      <c r="F288"/>
    </row>
    <row r="289" spans="1:6">
      <c r="A289" s="17" t="str">
        <f>DEC2HEX(INT(HEX2DEC(SUBSTITUTE('full nvm map'!$G$308,"0x",""))+HEX2DEC(E289)))&amp;"h"</f>
        <v>319h</v>
      </c>
      <c r="B289" s="14" t="s">
        <v>328</v>
      </c>
      <c r="C289" s="1" t="s">
        <v>798</v>
      </c>
      <c r="D289" s="1" t="s">
        <v>873</v>
      </c>
      <c r="E289" s="14" t="s">
        <v>986</v>
      </c>
      <c r="F289"/>
    </row>
    <row r="290" spans="1:6">
      <c r="A290" s="17" t="str">
        <f>DEC2HEX(INT(HEX2DEC(SUBSTITUTE('full nvm map'!$G$308,"0x",""))+HEX2DEC(E290)))&amp;"h"</f>
        <v>31Ah</v>
      </c>
      <c r="B290" s="14" t="s">
        <v>328</v>
      </c>
      <c r="C290" s="1" t="s">
        <v>798</v>
      </c>
      <c r="D290" s="1" t="s">
        <v>873</v>
      </c>
      <c r="E290" s="14" t="s">
        <v>1223</v>
      </c>
      <c r="F290"/>
    </row>
    <row r="291" spans="1:6">
      <c r="A291" s="17" t="str">
        <f>DEC2HEX(INT(HEX2DEC(SUBSTITUTE('full nvm map'!$G$308,"0x",""))+HEX2DEC(E291)))&amp;"h"</f>
        <v>31Bh</v>
      </c>
      <c r="B291" s="14" t="s">
        <v>328</v>
      </c>
      <c r="C291" s="1" t="s">
        <v>798</v>
      </c>
      <c r="D291" s="1" t="s">
        <v>873</v>
      </c>
      <c r="E291" s="14" t="s">
        <v>1224</v>
      </c>
      <c r="F291"/>
    </row>
    <row r="292" spans="1:6">
      <c r="A292" s="17" t="str">
        <f>DEC2HEX(INT(HEX2DEC(SUBSTITUTE('full nvm map'!$G$308,"0x",""))+HEX2DEC(E292)))&amp;"h"</f>
        <v>31Ch</v>
      </c>
      <c r="B292" s="14" t="s">
        <v>328</v>
      </c>
      <c r="C292" s="1" t="s">
        <v>798</v>
      </c>
      <c r="D292" s="1" t="s">
        <v>873</v>
      </c>
      <c r="E292" s="14" t="s">
        <v>1225</v>
      </c>
      <c r="F292"/>
    </row>
    <row r="293" spans="1:6">
      <c r="A293" s="17" t="str">
        <f>DEC2HEX(INT(HEX2DEC(SUBSTITUTE('full nvm map'!$G$308,"0x",""))+HEX2DEC(E293)))&amp;"h"</f>
        <v>31Dh</v>
      </c>
      <c r="B293" s="14" t="s">
        <v>328</v>
      </c>
      <c r="C293" s="1" t="s">
        <v>798</v>
      </c>
      <c r="D293" s="1" t="s">
        <v>873</v>
      </c>
      <c r="E293" s="14" t="s">
        <v>1226</v>
      </c>
      <c r="F293"/>
    </row>
    <row r="294" spans="1:6">
      <c r="A294" s="17" t="str">
        <f>DEC2HEX(INT(HEX2DEC(SUBSTITUTE('full nvm map'!$G$308,"0x",""))+HEX2DEC(E294)))&amp;"h"</f>
        <v>31Eh</v>
      </c>
      <c r="B294" s="14" t="s">
        <v>328</v>
      </c>
      <c r="C294" s="1" t="s">
        <v>798</v>
      </c>
      <c r="D294" s="1" t="s">
        <v>873</v>
      </c>
      <c r="E294" s="14" t="s">
        <v>1227</v>
      </c>
      <c r="F294"/>
    </row>
    <row r="295" spans="1:6">
      <c r="A295" s="17" t="str">
        <f>DEC2HEX(INT(HEX2DEC(SUBSTITUTE('full nvm map'!$G$308,"0x",""))+HEX2DEC(E295)))&amp;"h"</f>
        <v>31Fh</v>
      </c>
      <c r="B295" s="14" t="s">
        <v>328</v>
      </c>
      <c r="C295" s="1" t="s">
        <v>798</v>
      </c>
      <c r="D295" s="1" t="s">
        <v>874</v>
      </c>
      <c r="E295" s="14" t="s">
        <v>1228</v>
      </c>
      <c r="F295"/>
    </row>
    <row r="296" spans="1:6">
      <c r="A296" s="17" t="str">
        <f>DEC2HEX(INT(HEX2DEC(SUBSTITUTE('full nvm map'!$G$308,"0x",""))+HEX2DEC(E296)))&amp;"h"</f>
        <v>320h</v>
      </c>
      <c r="B296" s="14" t="s">
        <v>328</v>
      </c>
      <c r="C296" s="1" t="s">
        <v>798</v>
      </c>
      <c r="D296" s="1" t="s">
        <v>874</v>
      </c>
      <c r="E296" s="14" t="s">
        <v>987</v>
      </c>
      <c r="F296"/>
    </row>
    <row r="297" spans="1:6">
      <c r="A297" s="17" t="str">
        <f>DEC2HEX(INT(HEX2DEC(SUBSTITUTE('full nvm map'!$G$308,"0x",""))+HEX2DEC(E297)))&amp;"h"</f>
        <v>321h</v>
      </c>
      <c r="B297" s="14" t="s">
        <v>328</v>
      </c>
      <c r="C297" s="1" t="s">
        <v>798</v>
      </c>
      <c r="D297" s="1" t="s">
        <v>874</v>
      </c>
      <c r="E297" s="14" t="s">
        <v>988</v>
      </c>
      <c r="F297"/>
    </row>
    <row r="298" spans="1:6">
      <c r="A298" s="17" t="str">
        <f>DEC2HEX(INT(HEX2DEC(SUBSTITUTE('full nvm map'!$G$308,"0x",""))+HEX2DEC(E298)))&amp;"h"</f>
        <v>322h</v>
      </c>
      <c r="B298" s="14" t="s">
        <v>328</v>
      </c>
      <c r="C298" s="1" t="s">
        <v>798</v>
      </c>
      <c r="D298" s="1" t="s">
        <v>874</v>
      </c>
      <c r="E298" s="14" t="s">
        <v>989</v>
      </c>
      <c r="F298"/>
    </row>
    <row r="299" spans="1:6">
      <c r="A299" s="17" t="str">
        <f>DEC2HEX(INT(HEX2DEC(SUBSTITUTE('full nvm map'!$G$308,"0x",""))+HEX2DEC(E299)))&amp;"h"</f>
        <v>323h</v>
      </c>
      <c r="B299" s="14" t="s">
        <v>328</v>
      </c>
      <c r="C299" s="1" t="s">
        <v>798</v>
      </c>
      <c r="D299" s="1" t="s">
        <v>874</v>
      </c>
      <c r="E299" s="14" t="s">
        <v>990</v>
      </c>
      <c r="F299"/>
    </row>
    <row r="300" spans="1:6">
      <c r="A300" s="17" t="str">
        <f>DEC2HEX(INT(HEX2DEC(SUBSTITUTE('full nvm map'!$G$308,"0x",""))+HEX2DEC(E300)))&amp;"h"</f>
        <v>324h</v>
      </c>
      <c r="B300" s="14" t="s">
        <v>328</v>
      </c>
      <c r="C300" s="1" t="s">
        <v>798</v>
      </c>
      <c r="D300" s="1" t="s">
        <v>874</v>
      </c>
      <c r="E300" s="14" t="s">
        <v>991</v>
      </c>
      <c r="F300"/>
    </row>
    <row r="301" spans="1:6">
      <c r="A301" s="17" t="str">
        <f>DEC2HEX(INT(HEX2DEC(SUBSTITUTE('full nvm map'!$G$308,"0x",""))+HEX2DEC(E301)))&amp;"h"</f>
        <v>325h</v>
      </c>
      <c r="B301" s="14" t="s">
        <v>328</v>
      </c>
      <c r="C301" s="1" t="s">
        <v>798</v>
      </c>
      <c r="D301" s="1" t="s">
        <v>874</v>
      </c>
      <c r="E301" s="14" t="s">
        <v>992</v>
      </c>
      <c r="F301"/>
    </row>
    <row r="302" spans="1:6">
      <c r="A302" s="17" t="str">
        <f>DEC2HEX(INT(HEX2DEC(SUBSTITUTE('full nvm map'!$G$308,"0x",""))+HEX2DEC(E302)))&amp;"h"</f>
        <v>326h</v>
      </c>
      <c r="B302" s="14" t="s">
        <v>328</v>
      </c>
      <c r="C302" s="1" t="s">
        <v>798</v>
      </c>
      <c r="D302" s="1" t="s">
        <v>874</v>
      </c>
      <c r="E302" s="14" t="s">
        <v>993</v>
      </c>
      <c r="F302"/>
    </row>
    <row r="303" spans="1:6">
      <c r="A303" s="17" t="str">
        <f>DEC2HEX(INT(HEX2DEC(SUBSTITUTE('full nvm map'!$G$308,"0x",""))+HEX2DEC(E303)))&amp;"h"</f>
        <v>327h</v>
      </c>
      <c r="B303" s="14" t="s">
        <v>328</v>
      </c>
      <c r="C303" s="1" t="s">
        <v>798</v>
      </c>
      <c r="D303" s="1" t="s">
        <v>874</v>
      </c>
      <c r="E303" s="14" t="s">
        <v>994</v>
      </c>
      <c r="F303"/>
    </row>
    <row r="304" spans="1:6">
      <c r="A304" s="17" t="str">
        <f>DEC2HEX(INT(HEX2DEC(SUBSTITUTE('full nvm map'!$G$308,"0x",""))+HEX2DEC(E304)))&amp;"h"</f>
        <v>328h</v>
      </c>
      <c r="B304" s="14" t="s">
        <v>328</v>
      </c>
      <c r="C304" s="1" t="s">
        <v>798</v>
      </c>
      <c r="D304" s="1" t="s">
        <v>875</v>
      </c>
      <c r="E304" s="14" t="s">
        <v>995</v>
      </c>
      <c r="F304"/>
    </row>
    <row r="305" spans="1:6">
      <c r="A305" s="17" t="str">
        <f>DEC2HEX(INT(HEX2DEC(SUBSTITUTE('full nvm map'!$G$308,"0x",""))+HEX2DEC(E305)))&amp;"h"</f>
        <v>329h</v>
      </c>
      <c r="B305" s="14" t="s">
        <v>328</v>
      </c>
      <c r="C305" s="1" t="s">
        <v>798</v>
      </c>
      <c r="D305" s="1" t="s">
        <v>875</v>
      </c>
      <c r="E305" s="14" t="s">
        <v>996</v>
      </c>
      <c r="F305"/>
    </row>
    <row r="306" spans="1:6">
      <c r="A306" s="17" t="str">
        <f>DEC2HEX(INT(HEX2DEC(SUBSTITUTE('full nvm map'!$G$308,"0x",""))+HEX2DEC(E306)))&amp;"h"</f>
        <v>32Ah</v>
      </c>
      <c r="B306" s="14" t="s">
        <v>328</v>
      </c>
      <c r="C306" s="1" t="s">
        <v>798</v>
      </c>
      <c r="D306" s="1" t="s">
        <v>875</v>
      </c>
      <c r="E306" s="14" t="s">
        <v>1229</v>
      </c>
      <c r="F306"/>
    </row>
    <row r="307" spans="1:6">
      <c r="A307" s="17" t="str">
        <f>DEC2HEX(INT(HEX2DEC(SUBSTITUTE('full nvm map'!$G$308,"0x",""))+HEX2DEC(E307)))&amp;"h"</f>
        <v>32Bh</v>
      </c>
      <c r="B307" s="14" t="s">
        <v>328</v>
      </c>
      <c r="C307" s="1" t="s">
        <v>798</v>
      </c>
      <c r="D307" s="1" t="s">
        <v>875</v>
      </c>
      <c r="E307" s="14" t="s">
        <v>1230</v>
      </c>
      <c r="F307"/>
    </row>
    <row r="308" spans="1:6">
      <c r="A308" s="17" t="str">
        <f>DEC2HEX(INT(HEX2DEC(SUBSTITUTE('full nvm map'!$G$308,"0x",""))+HEX2DEC(E308)))&amp;"h"</f>
        <v>32Ch</v>
      </c>
      <c r="B308" s="14" t="s">
        <v>328</v>
      </c>
      <c r="C308" s="1" t="s">
        <v>798</v>
      </c>
      <c r="D308" s="1" t="s">
        <v>875</v>
      </c>
      <c r="E308" s="14" t="s">
        <v>1231</v>
      </c>
      <c r="F308"/>
    </row>
    <row r="309" spans="1:6">
      <c r="A309" s="17" t="str">
        <f>DEC2HEX(INT(HEX2DEC(SUBSTITUTE('full nvm map'!$G$308,"0x",""))+HEX2DEC(E309)))&amp;"h"</f>
        <v>32Dh</v>
      </c>
      <c r="B309" s="14" t="s">
        <v>328</v>
      </c>
      <c r="C309" s="1" t="s">
        <v>798</v>
      </c>
      <c r="D309" s="1" t="s">
        <v>875</v>
      </c>
      <c r="E309" s="14" t="s">
        <v>1232</v>
      </c>
      <c r="F309"/>
    </row>
    <row r="310" spans="1:6">
      <c r="A310" s="17" t="str">
        <f>DEC2HEX(INT(HEX2DEC(SUBSTITUTE('full nvm map'!$G$308,"0x",""))+HEX2DEC(E310)))&amp;"h"</f>
        <v>32Eh</v>
      </c>
      <c r="B310" s="14" t="s">
        <v>328</v>
      </c>
      <c r="C310" s="1" t="s">
        <v>798</v>
      </c>
      <c r="D310" s="1" t="s">
        <v>875</v>
      </c>
      <c r="E310" s="14" t="s">
        <v>1233</v>
      </c>
      <c r="F310"/>
    </row>
    <row r="311" spans="1:6">
      <c r="A311" s="17" t="str">
        <f>DEC2HEX(INT(HEX2DEC(SUBSTITUTE('full nvm map'!$G$308,"0x",""))+HEX2DEC(E311)))&amp;"h"</f>
        <v>32Fh</v>
      </c>
      <c r="B311" s="14" t="s">
        <v>328</v>
      </c>
      <c r="C311" s="1" t="s">
        <v>798</v>
      </c>
      <c r="D311" s="1" t="s">
        <v>875</v>
      </c>
      <c r="E311" s="14" t="s">
        <v>1234</v>
      </c>
      <c r="F311"/>
    </row>
    <row r="312" spans="1:6">
      <c r="A312" s="17" t="str">
        <f>DEC2HEX(INT(HEX2DEC(SUBSTITUTE('full nvm map'!$G$308,"0x",""))+HEX2DEC(E312)))&amp;"h"</f>
        <v>330h</v>
      </c>
      <c r="B312" s="14" t="s">
        <v>328</v>
      </c>
      <c r="C312" s="1" t="s">
        <v>798</v>
      </c>
      <c r="D312" s="1" t="s">
        <v>875</v>
      </c>
      <c r="E312" s="14" t="s">
        <v>997</v>
      </c>
      <c r="F312"/>
    </row>
    <row r="313" spans="1:6">
      <c r="A313" s="17" t="str">
        <f>DEC2HEX(INT(HEX2DEC(SUBSTITUTE('full nvm map'!$G$308,"0x",""))+HEX2DEC(E313)))&amp;"h"</f>
        <v>331h</v>
      </c>
      <c r="B313" s="14" t="s">
        <v>328</v>
      </c>
      <c r="C313" s="1" t="s">
        <v>798</v>
      </c>
      <c r="D313" s="1" t="s">
        <v>875</v>
      </c>
      <c r="E313" s="14" t="s">
        <v>998</v>
      </c>
      <c r="F313"/>
    </row>
    <row r="314" spans="1:6">
      <c r="A314" s="17" t="str">
        <f>DEC2HEX(INT(HEX2DEC(SUBSTITUTE('full nvm map'!$G$308,"0x",""))+HEX2DEC(E314)))&amp;"h"</f>
        <v>332h</v>
      </c>
      <c r="B314" s="14" t="s">
        <v>328</v>
      </c>
      <c r="C314" s="1" t="s">
        <v>798</v>
      </c>
      <c r="D314" s="1" t="s">
        <v>875</v>
      </c>
      <c r="E314" s="14" t="s">
        <v>999</v>
      </c>
      <c r="F314"/>
    </row>
    <row r="315" spans="1:6">
      <c r="A315" s="17" t="str">
        <f>DEC2HEX(INT(HEX2DEC(SUBSTITUTE('full nvm map'!$G$308,"0x",""))+HEX2DEC(E315)))&amp;"h"</f>
        <v>333h</v>
      </c>
      <c r="B315" s="14" t="s">
        <v>328</v>
      </c>
      <c r="C315" s="1" t="s">
        <v>798</v>
      </c>
      <c r="D315" s="1" t="s">
        <v>875</v>
      </c>
      <c r="E315" s="14" t="s">
        <v>1000</v>
      </c>
      <c r="F315"/>
    </row>
    <row r="316" spans="1:6">
      <c r="A316" s="17" t="str">
        <f>DEC2HEX(INT(HEX2DEC(SUBSTITUTE('full nvm map'!$G$308,"0x",""))+HEX2DEC(E316)))&amp;"h"</f>
        <v>334h</v>
      </c>
      <c r="B316" s="14" t="s">
        <v>328</v>
      </c>
      <c r="C316" s="1" t="s">
        <v>798</v>
      </c>
      <c r="D316" s="1" t="s">
        <v>875</v>
      </c>
      <c r="E316" s="14" t="s">
        <v>1001</v>
      </c>
      <c r="F316"/>
    </row>
    <row r="317" spans="1:6">
      <c r="A317" s="17" t="str">
        <f>DEC2HEX(INT(HEX2DEC(SUBSTITUTE('full nvm map'!$G$308,"0x",""))+HEX2DEC(E317)))&amp;"h"</f>
        <v>335h</v>
      </c>
      <c r="B317" s="14" t="s">
        <v>328</v>
      </c>
      <c r="C317" s="1" t="s">
        <v>798</v>
      </c>
      <c r="D317" s="1" t="s">
        <v>875</v>
      </c>
      <c r="E317" s="14" t="s">
        <v>1002</v>
      </c>
      <c r="F317"/>
    </row>
    <row r="318" spans="1:6">
      <c r="A318" s="17" t="str">
        <f>DEC2HEX(INT(HEX2DEC(SUBSTITUTE('full nvm map'!$G$308,"0x",""))+HEX2DEC(E318)))&amp;"h"</f>
        <v>336h</v>
      </c>
      <c r="B318" s="14" t="s">
        <v>328</v>
      </c>
      <c r="C318" s="1" t="s">
        <v>798</v>
      </c>
      <c r="D318" s="1" t="s">
        <v>875</v>
      </c>
      <c r="E318" s="14" t="s">
        <v>1003</v>
      </c>
      <c r="F318"/>
    </row>
    <row r="319" spans="1:6">
      <c r="A319" s="17" t="str">
        <f>DEC2HEX(INT(HEX2DEC(SUBSTITUTE('full nvm map'!$G$308,"0x",""))+HEX2DEC(E319)))&amp;"h"</f>
        <v>337h</v>
      </c>
      <c r="B319" s="14" t="s">
        <v>328</v>
      </c>
      <c r="C319" s="1" t="s">
        <v>798</v>
      </c>
      <c r="D319" s="1" t="s">
        <v>875</v>
      </c>
      <c r="E319" s="14" t="s">
        <v>1004</v>
      </c>
      <c r="F319"/>
    </row>
    <row r="320" spans="1:6">
      <c r="A320" s="17" t="str">
        <f>DEC2HEX(INT(HEX2DEC(SUBSTITUTE('full nvm map'!$G$308,"0x",""))+HEX2DEC(E320)))&amp;"h"</f>
        <v>338h</v>
      </c>
      <c r="B320" s="14" t="s">
        <v>328</v>
      </c>
      <c r="C320" s="1" t="s">
        <v>798</v>
      </c>
      <c r="D320" s="1" t="s">
        <v>875</v>
      </c>
      <c r="E320" s="14" t="s">
        <v>1005</v>
      </c>
      <c r="F320"/>
    </row>
    <row r="321" spans="1:6">
      <c r="A321" s="17" t="str">
        <f>DEC2HEX(INT(HEX2DEC(SUBSTITUTE('full nvm map'!$G$308,"0x",""))+HEX2DEC(E321)))&amp;"h"</f>
        <v>339h</v>
      </c>
      <c r="B321" s="14" t="s">
        <v>328</v>
      </c>
      <c r="C321" s="1" t="s">
        <v>798</v>
      </c>
      <c r="D321" s="1" t="s">
        <v>875</v>
      </c>
      <c r="E321" s="14" t="s">
        <v>1006</v>
      </c>
      <c r="F321"/>
    </row>
    <row r="322" spans="1:6">
      <c r="A322" s="17" t="str">
        <f>DEC2HEX(INT(HEX2DEC(SUBSTITUTE('full nvm map'!$G$308,"0x",""))+HEX2DEC(E322)))&amp;"h"</f>
        <v>33Ah</v>
      </c>
      <c r="B322" s="14" t="s">
        <v>328</v>
      </c>
      <c r="C322" s="1" t="s">
        <v>798</v>
      </c>
      <c r="D322" s="1" t="s">
        <v>875</v>
      </c>
      <c r="E322" s="14" t="s">
        <v>1235</v>
      </c>
      <c r="F322"/>
    </row>
    <row r="323" spans="1:6">
      <c r="A323" s="17" t="str">
        <f>DEC2HEX(INT(HEX2DEC(SUBSTITUTE('full nvm map'!$G$308,"0x",""))+HEX2DEC(E323)))&amp;"h"</f>
        <v>33Bh</v>
      </c>
      <c r="B323" s="14" t="s">
        <v>328</v>
      </c>
      <c r="C323" s="1" t="s">
        <v>798</v>
      </c>
      <c r="D323" s="1" t="s">
        <v>875</v>
      </c>
      <c r="E323" s="14" t="s">
        <v>1236</v>
      </c>
      <c r="F323"/>
    </row>
    <row r="324" spans="1:6">
      <c r="A324" s="17" t="str">
        <f>DEC2HEX(INT(HEX2DEC(SUBSTITUTE('full nvm map'!$G$308,"0x",""))+HEX2DEC(E324)))&amp;"h"</f>
        <v>33Ch</v>
      </c>
      <c r="B324" s="14" t="s">
        <v>328</v>
      </c>
      <c r="C324" s="1" t="s">
        <v>798</v>
      </c>
      <c r="D324" s="1" t="s">
        <v>875</v>
      </c>
      <c r="E324" s="14" t="s">
        <v>1237</v>
      </c>
      <c r="F324"/>
    </row>
    <row r="325" spans="1:6">
      <c r="A325" s="17" t="str">
        <f>DEC2HEX(INT(HEX2DEC(SUBSTITUTE('full nvm map'!$G$308,"0x",""))+HEX2DEC(E325)))&amp;"h"</f>
        <v>33Dh</v>
      </c>
      <c r="B325" s="14" t="s">
        <v>328</v>
      </c>
      <c r="C325" s="1" t="s">
        <v>798</v>
      </c>
      <c r="D325" s="1" t="s">
        <v>875</v>
      </c>
      <c r="E325" s="14" t="s">
        <v>1238</v>
      </c>
      <c r="F325"/>
    </row>
    <row r="326" spans="1:6">
      <c r="A326" s="17" t="str">
        <f>DEC2HEX(INT(HEX2DEC(SUBSTITUTE('full nvm map'!$G$308,"0x",""))+HEX2DEC(E326)))&amp;"h"</f>
        <v>33Eh</v>
      </c>
      <c r="B326" s="14" t="s">
        <v>328</v>
      </c>
      <c r="C326" s="1" t="s">
        <v>798</v>
      </c>
      <c r="D326" s="1" t="s">
        <v>875</v>
      </c>
      <c r="E326" s="14" t="s">
        <v>1239</v>
      </c>
      <c r="F326"/>
    </row>
    <row r="327" spans="1:6">
      <c r="A327" s="17" t="str">
        <f>DEC2HEX(INT(HEX2DEC(SUBSTITUTE('full nvm map'!$G$308,"0x",""))+HEX2DEC(E327)))&amp;"h"</f>
        <v>33Fh</v>
      </c>
      <c r="B327" s="14" t="s">
        <v>328</v>
      </c>
      <c r="C327" s="1" t="s">
        <v>798</v>
      </c>
      <c r="D327" s="1" t="s">
        <v>875</v>
      </c>
      <c r="E327" s="14" t="s">
        <v>1240</v>
      </c>
      <c r="F327"/>
    </row>
    <row r="328" spans="1:6">
      <c r="A328" s="17" t="str">
        <f>DEC2HEX(INT(HEX2DEC(SUBSTITUTE('full nvm map'!$G$308,"0x",""))+HEX2DEC(E328)))&amp;"h"</f>
        <v>340h</v>
      </c>
      <c r="B328" s="14" t="s">
        <v>328</v>
      </c>
      <c r="C328" s="1" t="s">
        <v>798</v>
      </c>
      <c r="D328" s="1" t="s">
        <v>875</v>
      </c>
      <c r="E328" s="14" t="s">
        <v>1007</v>
      </c>
      <c r="F328"/>
    </row>
    <row r="329" spans="1:6">
      <c r="A329" s="17" t="str">
        <f>DEC2HEX(INT(HEX2DEC(SUBSTITUTE('full nvm map'!$G$308,"0x",""))+HEX2DEC(E329)))&amp;"h"</f>
        <v>341h</v>
      </c>
      <c r="B329" s="14" t="s">
        <v>328</v>
      </c>
      <c r="C329" s="1" t="s">
        <v>798</v>
      </c>
      <c r="D329" s="1" t="s">
        <v>875</v>
      </c>
      <c r="E329" s="14" t="s">
        <v>1008</v>
      </c>
      <c r="F329"/>
    </row>
    <row r="330" spans="1:6">
      <c r="A330" s="17" t="str">
        <f>DEC2HEX(INT(HEX2DEC(SUBSTITUTE('full nvm map'!$G$308,"0x",""))+HEX2DEC(E330)))&amp;"h"</f>
        <v>342h</v>
      </c>
      <c r="B330" s="14" t="s">
        <v>328</v>
      </c>
      <c r="C330" s="1" t="s">
        <v>798</v>
      </c>
      <c r="D330" s="1" t="s">
        <v>875</v>
      </c>
      <c r="E330" s="14" t="s">
        <v>1009</v>
      </c>
      <c r="F330"/>
    </row>
    <row r="331" spans="1:6">
      <c r="A331" s="17" t="str">
        <f>DEC2HEX(INT(HEX2DEC(SUBSTITUTE('full nvm map'!$G$308,"0x",""))+HEX2DEC(E331)))&amp;"h"</f>
        <v>343h</v>
      </c>
      <c r="B331" s="14" t="s">
        <v>328</v>
      </c>
      <c r="C331" s="1" t="s">
        <v>798</v>
      </c>
      <c r="D331" s="1" t="s">
        <v>875</v>
      </c>
      <c r="E331" s="14" t="s">
        <v>1010</v>
      </c>
      <c r="F331"/>
    </row>
    <row r="332" spans="1:6">
      <c r="A332" s="17" t="str">
        <f>DEC2HEX(INT(HEX2DEC(SUBSTITUTE('full nvm map'!$G$308,"0x",""))+HEX2DEC(E332)))&amp;"h"</f>
        <v>344h</v>
      </c>
      <c r="B332" s="14" t="s">
        <v>328</v>
      </c>
      <c r="C332" s="1" t="s">
        <v>798</v>
      </c>
      <c r="D332" s="1" t="s">
        <v>875</v>
      </c>
      <c r="E332" s="14" t="s">
        <v>1011</v>
      </c>
      <c r="F332"/>
    </row>
    <row r="333" spans="1:6">
      <c r="A333" s="17" t="str">
        <f>DEC2HEX(INT(HEX2DEC(SUBSTITUTE('full nvm map'!$G$308,"0x",""))+HEX2DEC(E333)))&amp;"h"</f>
        <v>345h</v>
      </c>
      <c r="B333" s="14" t="s">
        <v>328</v>
      </c>
      <c r="C333" s="1" t="s">
        <v>798</v>
      </c>
      <c r="D333" s="1" t="s">
        <v>875</v>
      </c>
      <c r="E333" s="14" t="s">
        <v>1012</v>
      </c>
      <c r="F333"/>
    </row>
    <row r="334" spans="1:6">
      <c r="A334" s="17" t="str">
        <f>DEC2HEX(INT(HEX2DEC(SUBSTITUTE('full nvm map'!$G$308,"0x",""))+HEX2DEC(E334)))&amp;"h"</f>
        <v>346h</v>
      </c>
      <c r="B334" s="14" t="s">
        <v>328</v>
      </c>
      <c r="C334" s="1" t="s">
        <v>798</v>
      </c>
      <c r="D334" s="1" t="s">
        <v>875</v>
      </c>
      <c r="E334" s="14" t="s">
        <v>1013</v>
      </c>
      <c r="F334"/>
    </row>
    <row r="335" spans="1:6">
      <c r="A335" s="17" t="str">
        <f>DEC2HEX(INT(HEX2DEC(SUBSTITUTE('full nvm map'!$G$308,"0x",""))+HEX2DEC(E335)))&amp;"h"</f>
        <v>347h</v>
      </c>
      <c r="B335" s="14" t="s">
        <v>328</v>
      </c>
      <c r="C335" s="1" t="s">
        <v>798</v>
      </c>
      <c r="D335" s="1" t="s">
        <v>875</v>
      </c>
      <c r="E335" s="14" t="s">
        <v>1014</v>
      </c>
      <c r="F335"/>
    </row>
    <row r="336" spans="1:6">
      <c r="A336" s="17" t="str">
        <f>DEC2HEX(INT(HEX2DEC(SUBSTITUTE('full nvm map'!$G$308,"0x",""))+HEX2DEC(E336)))&amp;"h"</f>
        <v>348h</v>
      </c>
      <c r="B336" s="14" t="s">
        <v>328</v>
      </c>
      <c r="C336" s="1" t="s">
        <v>798</v>
      </c>
      <c r="D336" s="1" t="s">
        <v>875</v>
      </c>
      <c r="E336" s="14" t="s">
        <v>1015</v>
      </c>
      <c r="F336"/>
    </row>
    <row r="337" spans="1:6">
      <c r="A337" s="17" t="str">
        <f>DEC2HEX(INT(HEX2DEC(SUBSTITUTE('full nvm map'!$G$308,"0x",""))+HEX2DEC(E337)))&amp;"h"</f>
        <v>349h</v>
      </c>
      <c r="B337" s="14" t="s">
        <v>328</v>
      </c>
      <c r="C337" s="1" t="s">
        <v>798</v>
      </c>
      <c r="D337" s="1" t="s">
        <v>875</v>
      </c>
      <c r="E337" s="14" t="s">
        <v>1016</v>
      </c>
      <c r="F337"/>
    </row>
    <row r="338" spans="1:6">
      <c r="A338" s="17" t="str">
        <f>DEC2HEX(INT(HEX2DEC(SUBSTITUTE('full nvm map'!$G$308,"0x",""))+HEX2DEC(E338)))&amp;"h"</f>
        <v>34Ah</v>
      </c>
      <c r="B338" s="14" t="s">
        <v>328</v>
      </c>
      <c r="C338" s="1" t="s">
        <v>798</v>
      </c>
      <c r="D338" s="1" t="s">
        <v>875</v>
      </c>
      <c r="E338" s="14" t="s">
        <v>1241</v>
      </c>
      <c r="F338"/>
    </row>
    <row r="339" spans="1:6">
      <c r="A339" s="17" t="str">
        <f>DEC2HEX(INT(HEX2DEC(SUBSTITUTE('full nvm map'!$G$308,"0x",""))+HEX2DEC(E339)))&amp;"h"</f>
        <v>34Bh</v>
      </c>
      <c r="B339" s="14" t="s">
        <v>328</v>
      </c>
      <c r="C339" s="1" t="s">
        <v>798</v>
      </c>
      <c r="D339" s="1" t="s">
        <v>875</v>
      </c>
      <c r="E339" s="14" t="s">
        <v>1242</v>
      </c>
      <c r="F339"/>
    </row>
    <row r="340" spans="1:6">
      <c r="A340" s="17" t="str">
        <f>DEC2HEX(INT(HEX2DEC(SUBSTITUTE('full nvm map'!$G$308,"0x",""))+HEX2DEC(E340)))&amp;"h"</f>
        <v>34Ch</v>
      </c>
      <c r="B340" s="14" t="s">
        <v>328</v>
      </c>
      <c r="C340" s="1" t="s">
        <v>798</v>
      </c>
      <c r="D340" s="1" t="s">
        <v>875</v>
      </c>
      <c r="E340" s="14" t="s">
        <v>1243</v>
      </c>
      <c r="F340"/>
    </row>
    <row r="341" spans="1:6">
      <c r="A341" s="17" t="str">
        <f>DEC2HEX(INT(HEX2DEC(SUBSTITUTE('full nvm map'!$G$308,"0x",""))+HEX2DEC(E341)))&amp;"h"</f>
        <v>34Dh</v>
      </c>
      <c r="B341" s="14" t="s">
        <v>328</v>
      </c>
      <c r="C341" s="1" t="s">
        <v>798</v>
      </c>
      <c r="D341" s="1" t="s">
        <v>875</v>
      </c>
      <c r="E341" s="14" t="s">
        <v>1244</v>
      </c>
      <c r="F341"/>
    </row>
    <row r="342" spans="1:6">
      <c r="A342" s="17" t="str">
        <f>DEC2HEX(INT(HEX2DEC(SUBSTITUTE('full nvm map'!$G$308,"0x",""))+HEX2DEC(E342)))&amp;"h"</f>
        <v>34Eh</v>
      </c>
      <c r="B342" s="14" t="s">
        <v>328</v>
      </c>
      <c r="C342" s="1" t="s">
        <v>798</v>
      </c>
      <c r="D342" s="1" t="s">
        <v>875</v>
      </c>
      <c r="E342" s="14" t="s">
        <v>1245</v>
      </c>
      <c r="F342"/>
    </row>
    <row r="343" spans="1:6">
      <c r="A343" s="17" t="str">
        <f>DEC2HEX(INT(HEX2DEC(SUBSTITUTE('full nvm map'!$G$308,"0x",""))+HEX2DEC(E343)))&amp;"h"</f>
        <v>34Fh</v>
      </c>
      <c r="B343" s="14" t="s">
        <v>328</v>
      </c>
      <c r="C343" s="1" t="s">
        <v>798</v>
      </c>
      <c r="D343" s="1" t="s">
        <v>875</v>
      </c>
      <c r="E343" s="14" t="s">
        <v>1246</v>
      </c>
      <c r="F343"/>
    </row>
    <row r="344" spans="1:6">
      <c r="A344" s="17" t="str">
        <f>DEC2HEX(INT(HEX2DEC(SUBSTITUTE('full nvm map'!$G$308,"0x",""))+HEX2DEC(E344)))&amp;"h"</f>
        <v>350h</v>
      </c>
      <c r="B344" s="14" t="s">
        <v>328</v>
      </c>
      <c r="C344" s="1" t="s">
        <v>798</v>
      </c>
      <c r="D344" s="1" t="s">
        <v>875</v>
      </c>
      <c r="E344" s="14" t="s">
        <v>1017</v>
      </c>
      <c r="F344"/>
    </row>
    <row r="345" spans="1:6">
      <c r="A345" s="17" t="str">
        <f>DEC2HEX(INT(HEX2DEC(SUBSTITUTE('full nvm map'!$G$308,"0x",""))+HEX2DEC(E345)))&amp;"h"</f>
        <v>351h</v>
      </c>
      <c r="B345" s="14" t="s">
        <v>328</v>
      </c>
      <c r="C345" s="1" t="s">
        <v>798</v>
      </c>
      <c r="D345" s="1" t="s">
        <v>875</v>
      </c>
      <c r="E345" s="14" t="s">
        <v>1018</v>
      </c>
      <c r="F345"/>
    </row>
    <row r="346" spans="1:6">
      <c r="A346" s="17" t="str">
        <f>DEC2HEX(INT(HEX2DEC(SUBSTITUTE('full nvm map'!$G$308,"0x",""))+HEX2DEC(E346)))&amp;"h"</f>
        <v>352h</v>
      </c>
      <c r="B346" s="14" t="s">
        <v>328</v>
      </c>
      <c r="C346" s="1" t="s">
        <v>798</v>
      </c>
      <c r="D346" s="1" t="s">
        <v>875</v>
      </c>
      <c r="E346" s="14" t="s">
        <v>1019</v>
      </c>
      <c r="F346"/>
    </row>
    <row r="347" spans="1:6">
      <c r="A347" s="17" t="str">
        <f>DEC2HEX(INT(HEX2DEC(SUBSTITUTE('full nvm map'!$G$308,"0x",""))+HEX2DEC(E347)))&amp;"h"</f>
        <v>353h</v>
      </c>
      <c r="B347" s="14" t="s">
        <v>328</v>
      </c>
      <c r="C347" s="1" t="s">
        <v>798</v>
      </c>
      <c r="D347" s="1" t="s">
        <v>875</v>
      </c>
      <c r="E347" s="14" t="s">
        <v>1020</v>
      </c>
      <c r="F347"/>
    </row>
    <row r="348" spans="1:6">
      <c r="A348" s="17" t="str">
        <f>DEC2HEX(INT(HEX2DEC(SUBSTITUTE('full nvm map'!$G$308,"0x",""))+HEX2DEC(E348)))&amp;"h"</f>
        <v>354h</v>
      </c>
      <c r="B348" s="14" t="s">
        <v>328</v>
      </c>
      <c r="C348" s="1" t="s">
        <v>798</v>
      </c>
      <c r="D348" s="1" t="s">
        <v>875</v>
      </c>
      <c r="E348" s="14" t="s">
        <v>1021</v>
      </c>
      <c r="F348"/>
    </row>
    <row r="349" spans="1:6">
      <c r="A349" s="17" t="str">
        <f>DEC2HEX(INT(HEX2DEC(SUBSTITUTE('full nvm map'!$G$308,"0x",""))+HEX2DEC(E349)))&amp;"h"</f>
        <v>355h</v>
      </c>
      <c r="B349" s="14" t="s">
        <v>328</v>
      </c>
      <c r="C349" s="1" t="s">
        <v>798</v>
      </c>
      <c r="D349" s="1" t="s">
        <v>875</v>
      </c>
      <c r="E349" s="14" t="s">
        <v>1022</v>
      </c>
      <c r="F349"/>
    </row>
    <row r="350" spans="1:6">
      <c r="A350" s="17" t="str">
        <f>DEC2HEX(INT(HEX2DEC(SUBSTITUTE('full nvm map'!$G$308,"0x",""))+HEX2DEC(E350)))&amp;"h"</f>
        <v>356h</v>
      </c>
      <c r="B350" s="14" t="s">
        <v>328</v>
      </c>
      <c r="C350" s="1" t="s">
        <v>798</v>
      </c>
      <c r="D350" s="1" t="s">
        <v>875</v>
      </c>
      <c r="E350" s="14" t="s">
        <v>1023</v>
      </c>
      <c r="F350"/>
    </row>
    <row r="351" spans="1:6">
      <c r="A351" s="17" t="str">
        <f>DEC2HEX(INT(HEX2DEC(SUBSTITUTE('full nvm map'!$G$308,"0x",""))+HEX2DEC(E351)))&amp;"h"</f>
        <v>357h</v>
      </c>
      <c r="B351" s="14" t="s">
        <v>328</v>
      </c>
      <c r="C351" s="1" t="s">
        <v>798</v>
      </c>
      <c r="D351" s="1" t="s">
        <v>875</v>
      </c>
      <c r="E351" s="14" t="s">
        <v>1024</v>
      </c>
      <c r="F351"/>
    </row>
    <row r="352" spans="1:6">
      <c r="A352" s="17" t="str">
        <f>DEC2HEX(INT(HEX2DEC(SUBSTITUTE('full nvm map'!$G$308,"0x",""))+HEX2DEC(E352)))&amp;"h"</f>
        <v>358h</v>
      </c>
      <c r="B352" s="14" t="s">
        <v>328</v>
      </c>
      <c r="C352" s="1" t="s">
        <v>798</v>
      </c>
      <c r="D352" s="1" t="s">
        <v>875</v>
      </c>
      <c r="E352" s="14" t="s">
        <v>1025</v>
      </c>
      <c r="F352"/>
    </row>
    <row r="353" spans="1:6">
      <c r="A353" s="17" t="str">
        <f>DEC2HEX(INT(HEX2DEC(SUBSTITUTE('full nvm map'!$G$308,"0x",""))+HEX2DEC(E353)))&amp;"h"</f>
        <v>359h</v>
      </c>
      <c r="B353" s="14" t="s">
        <v>328</v>
      </c>
      <c r="C353" s="1" t="s">
        <v>798</v>
      </c>
      <c r="D353" s="1" t="s">
        <v>875</v>
      </c>
      <c r="E353" s="14" t="s">
        <v>1026</v>
      </c>
      <c r="F353"/>
    </row>
    <row r="354" spans="1:6">
      <c r="A354" s="17" t="str">
        <f>DEC2HEX(INT(HEX2DEC(SUBSTITUTE('full nvm map'!$G$308,"0x",""))+HEX2DEC(E354)))&amp;"h"</f>
        <v>35Ah</v>
      </c>
      <c r="B354" s="14" t="s">
        <v>328</v>
      </c>
      <c r="C354" s="1" t="s">
        <v>798</v>
      </c>
      <c r="D354" s="1" t="s">
        <v>875</v>
      </c>
      <c r="E354" s="14" t="s">
        <v>1247</v>
      </c>
      <c r="F354"/>
    </row>
    <row r="355" spans="1:6">
      <c r="A355" s="17" t="str">
        <f>DEC2HEX(INT(HEX2DEC(SUBSTITUTE('full nvm map'!$G$308,"0x",""))+HEX2DEC(E355)))&amp;"h"</f>
        <v>35Bh</v>
      </c>
      <c r="B355" s="14" t="s">
        <v>328</v>
      </c>
      <c r="C355" s="1" t="s">
        <v>798</v>
      </c>
      <c r="D355" s="1" t="s">
        <v>875</v>
      </c>
      <c r="E355" s="14" t="s">
        <v>1248</v>
      </c>
      <c r="F355"/>
    </row>
    <row r="356" spans="1:6">
      <c r="A356" s="17" t="str">
        <f>DEC2HEX(INT(HEX2DEC(SUBSTITUTE('full nvm map'!$G$308,"0x",""))+HEX2DEC(E356)))&amp;"h"</f>
        <v>35Ch</v>
      </c>
      <c r="B356" s="14" t="s">
        <v>328</v>
      </c>
      <c r="C356" s="1" t="s">
        <v>798</v>
      </c>
      <c r="D356" s="1" t="s">
        <v>875</v>
      </c>
      <c r="E356" s="14" t="s">
        <v>1249</v>
      </c>
      <c r="F356"/>
    </row>
    <row r="357" spans="1:6">
      <c r="A357" s="17" t="str">
        <f>DEC2HEX(INT(HEX2DEC(SUBSTITUTE('full nvm map'!$G$308,"0x",""))+HEX2DEC(E357)))&amp;"h"</f>
        <v>35Dh</v>
      </c>
      <c r="B357" s="14" t="s">
        <v>328</v>
      </c>
      <c r="C357" s="1" t="s">
        <v>798</v>
      </c>
      <c r="D357" s="1" t="s">
        <v>875</v>
      </c>
      <c r="E357" s="14" t="s">
        <v>1250</v>
      </c>
      <c r="F357"/>
    </row>
    <row r="358" spans="1:6">
      <c r="A358" s="17" t="str">
        <f>DEC2HEX(INT(HEX2DEC(SUBSTITUTE('full nvm map'!$G$308,"0x",""))+HEX2DEC(E358)))&amp;"h"</f>
        <v>35Eh</v>
      </c>
      <c r="B358" s="14" t="s">
        <v>328</v>
      </c>
      <c r="C358" s="1" t="s">
        <v>798</v>
      </c>
      <c r="D358" s="1" t="s">
        <v>875</v>
      </c>
      <c r="E358" s="14" t="s">
        <v>1251</v>
      </c>
      <c r="F358"/>
    </row>
    <row r="359" spans="1:6">
      <c r="A359" s="17" t="str">
        <f>DEC2HEX(INT(HEX2DEC(SUBSTITUTE('full nvm map'!$G$308,"0x",""))+HEX2DEC(E359)))&amp;"h"</f>
        <v>35Fh</v>
      </c>
      <c r="B359" s="14" t="s">
        <v>328</v>
      </c>
      <c r="C359" s="1" t="s">
        <v>798</v>
      </c>
      <c r="D359" s="1" t="s">
        <v>875</v>
      </c>
      <c r="E359" s="14" t="s">
        <v>1252</v>
      </c>
      <c r="F359"/>
    </row>
    <row r="360" spans="1:6">
      <c r="A360" s="17" t="str">
        <f>DEC2HEX(INT(HEX2DEC(SUBSTITUTE('full nvm map'!$G$308,"0x",""))+HEX2DEC(E360)))&amp;"h"</f>
        <v>360h</v>
      </c>
      <c r="B360" s="14" t="s">
        <v>328</v>
      </c>
      <c r="C360" s="1" t="s">
        <v>798</v>
      </c>
      <c r="D360" s="1" t="s">
        <v>875</v>
      </c>
      <c r="E360" s="14" t="s">
        <v>1027</v>
      </c>
      <c r="F360"/>
    </row>
    <row r="361" spans="1:6">
      <c r="A361" s="17" t="str">
        <f>DEC2HEX(INT(HEX2DEC(SUBSTITUTE('full nvm map'!$G$308,"0x",""))+HEX2DEC(E361)))&amp;"h"</f>
        <v>361h</v>
      </c>
      <c r="B361" s="14" t="s">
        <v>328</v>
      </c>
      <c r="C361" s="1" t="s">
        <v>798</v>
      </c>
      <c r="D361" s="1" t="s">
        <v>875</v>
      </c>
      <c r="E361" s="14" t="s">
        <v>1028</v>
      </c>
      <c r="F361"/>
    </row>
    <row r="362" spans="1:6">
      <c r="A362" s="17" t="str">
        <f>DEC2HEX(INT(HEX2DEC(SUBSTITUTE('full nvm map'!$G$308,"0x",""))+HEX2DEC(E362)))&amp;"h"</f>
        <v>362h</v>
      </c>
      <c r="B362" s="14" t="s">
        <v>328</v>
      </c>
      <c r="C362" s="1" t="s">
        <v>798</v>
      </c>
      <c r="D362" s="1" t="s">
        <v>875</v>
      </c>
      <c r="E362" s="14" t="s">
        <v>1029</v>
      </c>
      <c r="F362"/>
    </row>
    <row r="363" spans="1:6">
      <c r="A363" s="17" t="str">
        <f>DEC2HEX(INT(HEX2DEC(SUBSTITUTE('full nvm map'!$G$308,"0x",""))+HEX2DEC(E363)))&amp;"h"</f>
        <v>363h</v>
      </c>
      <c r="B363" s="14" t="s">
        <v>328</v>
      </c>
      <c r="C363" s="1" t="s">
        <v>798</v>
      </c>
      <c r="D363" s="1" t="s">
        <v>875</v>
      </c>
      <c r="E363" s="14" t="s">
        <v>1030</v>
      </c>
      <c r="F363"/>
    </row>
    <row r="364" spans="1:6">
      <c r="A364" s="17" t="str">
        <f>DEC2HEX(INT(HEX2DEC(SUBSTITUTE('full nvm map'!$G$308,"0x",""))+HEX2DEC(E364)))&amp;"h"</f>
        <v>364h</v>
      </c>
      <c r="B364" s="14" t="s">
        <v>328</v>
      </c>
      <c r="C364" s="1" t="s">
        <v>798</v>
      </c>
      <c r="D364" s="1" t="s">
        <v>875</v>
      </c>
      <c r="E364" s="14" t="s">
        <v>1031</v>
      </c>
      <c r="F364"/>
    </row>
    <row r="365" spans="1:6">
      <c r="A365" s="17" t="str">
        <f>DEC2HEX(INT(HEX2DEC(SUBSTITUTE('full nvm map'!$G$308,"0x",""))+HEX2DEC(E365)))&amp;"h"</f>
        <v>365h</v>
      </c>
      <c r="B365" s="14" t="s">
        <v>328</v>
      </c>
      <c r="C365" s="1" t="s">
        <v>798</v>
      </c>
      <c r="D365" s="1" t="s">
        <v>875</v>
      </c>
      <c r="E365" s="14" t="s">
        <v>1032</v>
      </c>
      <c r="F365"/>
    </row>
    <row r="366" spans="1:6">
      <c r="A366" s="17" t="str">
        <f>DEC2HEX(INT(HEX2DEC(SUBSTITUTE('full nvm map'!$G$308,"0x",""))+HEX2DEC(E366)))&amp;"h"</f>
        <v>366h</v>
      </c>
      <c r="B366" s="14" t="s">
        <v>328</v>
      </c>
      <c r="C366" s="1" t="s">
        <v>798</v>
      </c>
      <c r="D366" s="1" t="s">
        <v>875</v>
      </c>
      <c r="E366" s="14" t="s">
        <v>1033</v>
      </c>
      <c r="F366"/>
    </row>
    <row r="367" spans="1:6">
      <c r="A367" s="17" t="str">
        <f>DEC2HEX(INT(HEX2DEC(SUBSTITUTE('full nvm map'!$G$308,"0x",""))+HEX2DEC(E367)))&amp;"h"</f>
        <v>367h</v>
      </c>
      <c r="B367" s="14" t="s">
        <v>328</v>
      </c>
      <c r="C367" s="1" t="s">
        <v>798</v>
      </c>
      <c r="D367" s="1" t="s">
        <v>875</v>
      </c>
      <c r="E367" s="14" t="s">
        <v>1034</v>
      </c>
      <c r="F367"/>
    </row>
    <row r="368" spans="1:6">
      <c r="A368" s="17" t="str">
        <f>DEC2HEX(INT(HEX2DEC(SUBSTITUTE('full nvm map'!$G$308,"0x",""))+HEX2DEC(E368)))&amp;"h"</f>
        <v>368h</v>
      </c>
      <c r="B368" s="14" t="s">
        <v>328</v>
      </c>
      <c r="C368" s="1" t="s">
        <v>798</v>
      </c>
      <c r="D368" s="1" t="s">
        <v>208</v>
      </c>
      <c r="E368" s="14" t="s">
        <v>1035</v>
      </c>
      <c r="F368"/>
    </row>
    <row r="369" spans="1:6">
      <c r="A369" s="17" t="str">
        <f>DEC2HEX(INT(HEX2DEC(SUBSTITUTE('full nvm map'!$G$308,"0x",""))+HEX2DEC(E369)))&amp;"h"</f>
        <v>369h</v>
      </c>
      <c r="B369" s="14" t="s">
        <v>328</v>
      </c>
      <c r="C369" s="1" t="s">
        <v>798</v>
      </c>
      <c r="D369" s="1" t="s">
        <v>208</v>
      </c>
      <c r="E369" s="14" t="s">
        <v>1036</v>
      </c>
      <c r="F369"/>
    </row>
    <row r="370" spans="1:6">
      <c r="A370" s="17" t="str">
        <f>DEC2HEX(INT(HEX2DEC(SUBSTITUTE('full nvm map'!$G$308,"0x",""))+HEX2DEC(E370)))&amp;"h"</f>
        <v>36Ah</v>
      </c>
      <c r="B370" s="14" t="s">
        <v>328</v>
      </c>
      <c r="C370" s="1" t="s">
        <v>798</v>
      </c>
      <c r="D370" s="1" t="s">
        <v>208</v>
      </c>
      <c r="E370" s="14" t="s">
        <v>1253</v>
      </c>
      <c r="F370"/>
    </row>
    <row r="371" spans="1:6">
      <c r="A371" s="17" t="str">
        <f>DEC2HEX(INT(HEX2DEC(SUBSTITUTE('full nvm map'!$G$308,"0x",""))+HEX2DEC(E371)))&amp;"h"</f>
        <v>36Bh</v>
      </c>
      <c r="B371" s="14" t="s">
        <v>328</v>
      </c>
      <c r="C371" s="1" t="s">
        <v>798</v>
      </c>
      <c r="D371" s="1" t="s">
        <v>208</v>
      </c>
      <c r="E371" s="14" t="s">
        <v>1254</v>
      </c>
      <c r="F371"/>
    </row>
    <row r="372" spans="1:6">
      <c r="A372" s="17" t="str">
        <f>DEC2HEX(INT(HEX2DEC(SUBSTITUTE('full nvm map'!$G$308,"0x",""))+HEX2DEC(E372)))&amp;"h"</f>
        <v>36Ch</v>
      </c>
      <c r="B372" s="14" t="s">
        <v>328</v>
      </c>
      <c r="C372" s="1" t="s">
        <v>798</v>
      </c>
      <c r="D372" s="1" t="s">
        <v>208</v>
      </c>
      <c r="E372" s="14" t="s">
        <v>1255</v>
      </c>
      <c r="F372"/>
    </row>
    <row r="373" spans="1:6">
      <c r="A373" s="17" t="str">
        <f>DEC2HEX(INT(HEX2DEC(SUBSTITUTE('full nvm map'!$G$308,"0x",""))+HEX2DEC(E373)))&amp;"h"</f>
        <v>36Dh</v>
      </c>
      <c r="B373" s="14" t="s">
        <v>328</v>
      </c>
      <c r="C373" s="1" t="s">
        <v>798</v>
      </c>
      <c r="D373" s="1" t="s">
        <v>208</v>
      </c>
      <c r="E373" s="14" t="s">
        <v>1256</v>
      </c>
      <c r="F373"/>
    </row>
    <row r="374" spans="1:6">
      <c r="A374" s="17" t="str">
        <f>DEC2HEX(INT(HEX2DEC(SUBSTITUTE('full nvm map'!$G$308,"0x",""))+HEX2DEC(E374)))&amp;"h"</f>
        <v>36Eh</v>
      </c>
      <c r="B374" s="14" t="s">
        <v>328</v>
      </c>
      <c r="C374" s="1" t="s">
        <v>798</v>
      </c>
      <c r="D374" s="1" t="s">
        <v>208</v>
      </c>
      <c r="E374" s="14" t="s">
        <v>1257</v>
      </c>
      <c r="F374"/>
    </row>
    <row r="375" spans="1:6">
      <c r="A375" s="17" t="str">
        <f>DEC2HEX(INT(HEX2DEC(SUBSTITUTE('full nvm map'!$G$308,"0x",""))+HEX2DEC(E375)))&amp;"h"</f>
        <v>36Fh</v>
      </c>
      <c r="B375" s="14" t="s">
        <v>328</v>
      </c>
      <c r="C375" s="1" t="s">
        <v>798</v>
      </c>
      <c r="D375" s="1" t="s">
        <v>208</v>
      </c>
      <c r="E375" s="14" t="s">
        <v>1258</v>
      </c>
      <c r="F375"/>
    </row>
    <row r="376" spans="1:6">
      <c r="A376" s="17" t="str">
        <f>DEC2HEX(INT(HEX2DEC(SUBSTITUTE('full nvm map'!$G$308,"0x",""))+HEX2DEC(E376)))&amp;"h"</f>
        <v>370h</v>
      </c>
      <c r="B376" s="14" t="s">
        <v>328</v>
      </c>
      <c r="C376" s="1" t="s">
        <v>798</v>
      </c>
      <c r="D376" s="1" t="s">
        <v>208</v>
      </c>
      <c r="E376" s="14" t="s">
        <v>1037</v>
      </c>
      <c r="F376"/>
    </row>
    <row r="377" spans="1:6">
      <c r="A377" s="17" t="str">
        <f>DEC2HEX(INT(HEX2DEC(SUBSTITUTE('full nvm map'!$G$308,"0x",""))+HEX2DEC(E377)))&amp;"h"</f>
        <v>371h</v>
      </c>
      <c r="B377" s="14" t="s">
        <v>328</v>
      </c>
      <c r="C377" s="1" t="s">
        <v>798</v>
      </c>
      <c r="D377" s="1" t="s">
        <v>208</v>
      </c>
      <c r="E377" s="14" t="s">
        <v>1038</v>
      </c>
      <c r="F377"/>
    </row>
    <row r="378" spans="1:6">
      <c r="A378" s="17" t="str">
        <f>DEC2HEX(INT(HEX2DEC(SUBSTITUTE('full nvm map'!$G$308,"0x",""))+HEX2DEC(E378)))&amp;"h"</f>
        <v>372h</v>
      </c>
      <c r="B378" s="14" t="s">
        <v>328</v>
      </c>
      <c r="C378" s="1" t="s">
        <v>798</v>
      </c>
      <c r="D378" s="1" t="s">
        <v>208</v>
      </c>
      <c r="E378" s="14" t="s">
        <v>1039</v>
      </c>
      <c r="F378"/>
    </row>
    <row r="379" spans="1:6">
      <c r="A379" s="17" t="str">
        <f>DEC2HEX(INT(HEX2DEC(SUBSTITUTE('full nvm map'!$G$308,"0x",""))+HEX2DEC(E379)))&amp;"h"</f>
        <v>373h</v>
      </c>
      <c r="B379" s="14" t="s">
        <v>328</v>
      </c>
      <c r="C379" s="1" t="s">
        <v>798</v>
      </c>
      <c r="D379" s="1" t="s">
        <v>208</v>
      </c>
      <c r="E379" s="14" t="s">
        <v>1040</v>
      </c>
      <c r="F379"/>
    </row>
    <row r="380" spans="1:6">
      <c r="A380" s="17" t="str">
        <f>DEC2HEX(INT(HEX2DEC(SUBSTITUTE('full nvm map'!$G$308,"0x",""))+HEX2DEC(E380)))&amp;"h"</f>
        <v>374h</v>
      </c>
      <c r="B380" s="14" t="s">
        <v>328</v>
      </c>
      <c r="C380" s="1" t="s">
        <v>798</v>
      </c>
      <c r="D380" s="1" t="s">
        <v>208</v>
      </c>
      <c r="E380" s="14" t="s">
        <v>1041</v>
      </c>
      <c r="F380"/>
    </row>
    <row r="381" spans="1:6">
      <c r="A381" s="17" t="str">
        <f>DEC2HEX(INT(HEX2DEC(SUBSTITUTE('full nvm map'!$G$308,"0x",""))+HEX2DEC(E381)))&amp;"h"</f>
        <v>375h</v>
      </c>
      <c r="B381" s="14" t="s">
        <v>328</v>
      </c>
      <c r="C381" s="1" t="s">
        <v>798</v>
      </c>
      <c r="D381" s="1" t="s">
        <v>208</v>
      </c>
      <c r="E381" s="14" t="s">
        <v>1042</v>
      </c>
      <c r="F381"/>
    </row>
    <row r="382" spans="1:6">
      <c r="A382" s="17" t="str">
        <f>DEC2HEX(INT(HEX2DEC(SUBSTITUTE('full nvm map'!$G$308,"0x",""))+HEX2DEC(E382)))&amp;"h"</f>
        <v>376h</v>
      </c>
      <c r="B382" s="14" t="s">
        <v>328</v>
      </c>
      <c r="C382" s="1" t="s">
        <v>798</v>
      </c>
      <c r="D382" s="1" t="s">
        <v>208</v>
      </c>
      <c r="E382" s="14" t="s">
        <v>1043</v>
      </c>
      <c r="F382"/>
    </row>
    <row r="383" spans="1:6">
      <c r="A383" s="17" t="str">
        <f>DEC2HEX(INT(HEX2DEC(SUBSTITUTE('full nvm map'!$G$308,"0x",""))+HEX2DEC(E383)))&amp;"h"</f>
        <v>377h</v>
      </c>
      <c r="B383" s="14" t="s">
        <v>328</v>
      </c>
      <c r="C383" s="1" t="s">
        <v>798</v>
      </c>
      <c r="D383" s="1" t="s">
        <v>208</v>
      </c>
      <c r="E383" s="14" t="s">
        <v>1044</v>
      </c>
      <c r="F383"/>
    </row>
    <row r="384" spans="1:6">
      <c r="A384" s="17" t="str">
        <f>DEC2HEX(INT(HEX2DEC(SUBSTITUTE('full nvm map'!$G$308,"0x",""))+HEX2DEC(E384)))&amp;"h"</f>
        <v>378h</v>
      </c>
      <c r="B384" s="14" t="s">
        <v>328</v>
      </c>
      <c r="C384" s="1" t="s">
        <v>798</v>
      </c>
      <c r="D384" s="1" t="s">
        <v>208</v>
      </c>
      <c r="E384" s="14" t="s">
        <v>1045</v>
      </c>
      <c r="F384"/>
    </row>
    <row r="385" spans="1:6">
      <c r="A385" s="17" t="str">
        <f>DEC2HEX(INT(HEX2DEC(SUBSTITUTE('full nvm map'!$G$308,"0x",""))+HEX2DEC(E385)))&amp;"h"</f>
        <v>379h</v>
      </c>
      <c r="B385" s="14" t="s">
        <v>328</v>
      </c>
      <c r="C385" s="1" t="s">
        <v>798</v>
      </c>
      <c r="D385" s="1" t="s">
        <v>208</v>
      </c>
      <c r="E385" s="14" t="s">
        <v>1046</v>
      </c>
      <c r="F385"/>
    </row>
    <row r="386" spans="1:6">
      <c r="A386" s="17" t="str">
        <f>DEC2HEX(INT(HEX2DEC(SUBSTITUTE('full nvm map'!$G$308,"0x",""))+HEX2DEC(E386)))&amp;"h"</f>
        <v>37Ah</v>
      </c>
      <c r="B386" s="14" t="s">
        <v>328</v>
      </c>
      <c r="C386" s="1" t="s">
        <v>798</v>
      </c>
      <c r="D386" s="1" t="s">
        <v>208</v>
      </c>
      <c r="E386" s="14" t="s">
        <v>1259</v>
      </c>
      <c r="F386"/>
    </row>
    <row r="387" spans="1:6">
      <c r="A387" s="17" t="str">
        <f>DEC2HEX(INT(HEX2DEC(SUBSTITUTE('full nvm map'!$G$308,"0x",""))+HEX2DEC(E387)))&amp;"h"</f>
        <v>37Bh</v>
      </c>
      <c r="B387" s="14" t="s">
        <v>328</v>
      </c>
      <c r="C387" s="1" t="s">
        <v>798</v>
      </c>
      <c r="D387" s="1" t="s">
        <v>208</v>
      </c>
      <c r="E387" s="14" t="s">
        <v>1260</v>
      </c>
      <c r="F387"/>
    </row>
    <row r="388" spans="1:6">
      <c r="A388" s="17" t="str">
        <f>DEC2HEX(INT(HEX2DEC(SUBSTITUTE('full nvm map'!$G$308,"0x",""))+HEX2DEC(E388)))&amp;"h"</f>
        <v>37Ch</v>
      </c>
      <c r="B388" s="14" t="s">
        <v>328</v>
      </c>
      <c r="C388" s="1" t="s">
        <v>798</v>
      </c>
      <c r="D388" s="1" t="s">
        <v>208</v>
      </c>
      <c r="E388" s="14" t="s">
        <v>1261</v>
      </c>
      <c r="F388"/>
    </row>
    <row r="389" spans="1:6">
      <c r="A389" s="17" t="str">
        <f>DEC2HEX(INT(HEX2DEC(SUBSTITUTE('full nvm map'!$G$308,"0x",""))+HEX2DEC(E389)))&amp;"h"</f>
        <v>37Dh</v>
      </c>
      <c r="B389" s="14" t="s">
        <v>328</v>
      </c>
      <c r="C389" s="1" t="s">
        <v>798</v>
      </c>
      <c r="D389" s="1" t="s">
        <v>208</v>
      </c>
      <c r="E389" s="14" t="s">
        <v>1262</v>
      </c>
      <c r="F389"/>
    </row>
    <row r="390" spans="1:6">
      <c r="A390" s="17" t="str">
        <f>DEC2HEX(INT(HEX2DEC(SUBSTITUTE('full nvm map'!$G$308,"0x",""))+HEX2DEC(E390)))&amp;"h"</f>
        <v>37Eh</v>
      </c>
      <c r="B390" s="14" t="s">
        <v>328</v>
      </c>
      <c r="C390" s="1" t="s">
        <v>798</v>
      </c>
      <c r="D390" s="1" t="s">
        <v>208</v>
      </c>
      <c r="E390" s="14" t="s">
        <v>1263</v>
      </c>
      <c r="F390"/>
    </row>
    <row r="391" spans="1:6">
      <c r="A391" s="17" t="str">
        <f>DEC2HEX(INT(HEX2DEC(SUBSTITUTE('full nvm map'!$G$308,"0x",""))+HEX2DEC(E391)))&amp;"h"</f>
        <v>37Fh</v>
      </c>
      <c r="B391" s="14" t="s">
        <v>328</v>
      </c>
      <c r="C391" s="1" t="s">
        <v>798</v>
      </c>
      <c r="D391" s="1" t="s">
        <v>208</v>
      </c>
      <c r="E391" s="14" t="s">
        <v>1264</v>
      </c>
      <c r="F391"/>
    </row>
    <row r="392" spans="1:6">
      <c r="A392" s="17" t="str">
        <f>DEC2HEX(INT(HEX2DEC(SUBSTITUTE('full nvm map'!$G$308,"0x",""))+HEX2DEC(E392)))&amp;"h"</f>
        <v>380h</v>
      </c>
      <c r="B392" s="14" t="s">
        <v>328</v>
      </c>
      <c r="C392" s="1" t="s">
        <v>798</v>
      </c>
      <c r="D392" s="1" t="s">
        <v>208</v>
      </c>
      <c r="E392" s="14" t="s">
        <v>1047</v>
      </c>
      <c r="F392"/>
    </row>
    <row r="393" spans="1:6">
      <c r="A393" s="17" t="str">
        <f>DEC2HEX(INT(HEX2DEC(SUBSTITUTE('full nvm map'!$G$308,"0x",""))+HEX2DEC(E393)))&amp;"h"</f>
        <v>381h</v>
      </c>
      <c r="B393" s="14" t="s">
        <v>328</v>
      </c>
      <c r="C393" s="1" t="s">
        <v>798</v>
      </c>
      <c r="D393" s="1" t="s">
        <v>208</v>
      </c>
      <c r="E393" s="14" t="s">
        <v>1048</v>
      </c>
      <c r="F393"/>
    </row>
    <row r="394" spans="1:6">
      <c r="A394" s="17" t="str">
        <f>DEC2HEX(INT(HEX2DEC(SUBSTITUTE('full nvm map'!$G$308,"0x",""))+HEX2DEC(E394)))&amp;"h"</f>
        <v>382h</v>
      </c>
      <c r="B394" s="14" t="s">
        <v>328</v>
      </c>
      <c r="C394" s="1" t="s">
        <v>798</v>
      </c>
      <c r="D394" s="1" t="s">
        <v>208</v>
      </c>
      <c r="E394" s="14" t="s">
        <v>1049</v>
      </c>
      <c r="F394"/>
    </row>
    <row r="395" spans="1:6">
      <c r="A395" s="17" t="str">
        <f>DEC2HEX(INT(HEX2DEC(SUBSTITUTE('full nvm map'!$G$308,"0x",""))+HEX2DEC(E395)))&amp;"h"</f>
        <v>383h</v>
      </c>
      <c r="B395" s="14" t="s">
        <v>328</v>
      </c>
      <c r="C395" s="1" t="s">
        <v>798</v>
      </c>
      <c r="D395" s="1" t="s">
        <v>208</v>
      </c>
      <c r="E395" s="14" t="s">
        <v>1050</v>
      </c>
      <c r="F395"/>
    </row>
    <row r="396" spans="1:6">
      <c r="A396" s="17" t="str">
        <f>DEC2HEX(INT(HEX2DEC(SUBSTITUTE('full nvm map'!$G$308,"0x",""))+HEX2DEC(E396)))&amp;"h"</f>
        <v>384h</v>
      </c>
      <c r="B396" s="14" t="s">
        <v>328</v>
      </c>
      <c r="C396" s="1" t="s">
        <v>798</v>
      </c>
      <c r="D396" s="1" t="s">
        <v>208</v>
      </c>
      <c r="E396" s="14" t="s">
        <v>1051</v>
      </c>
      <c r="F396"/>
    </row>
    <row r="397" spans="1:6">
      <c r="A397" s="17" t="str">
        <f>DEC2HEX(INT(HEX2DEC(SUBSTITUTE('full nvm map'!$G$308,"0x",""))+HEX2DEC(E397)))&amp;"h"</f>
        <v>385h</v>
      </c>
      <c r="B397" s="14" t="s">
        <v>328</v>
      </c>
      <c r="C397" s="1" t="s">
        <v>798</v>
      </c>
      <c r="D397" s="1" t="s">
        <v>208</v>
      </c>
      <c r="E397" s="14" t="s">
        <v>1052</v>
      </c>
      <c r="F397"/>
    </row>
    <row r="398" spans="1:6">
      <c r="A398" s="17" t="str">
        <f>DEC2HEX(INT(HEX2DEC(SUBSTITUTE('full nvm map'!$G$308,"0x",""))+HEX2DEC(E398)))&amp;"h"</f>
        <v>386h</v>
      </c>
      <c r="B398" s="14" t="s">
        <v>328</v>
      </c>
      <c r="C398" s="1" t="s">
        <v>798</v>
      </c>
      <c r="D398" s="1" t="s">
        <v>208</v>
      </c>
      <c r="E398" s="14" t="s">
        <v>1053</v>
      </c>
      <c r="F398"/>
    </row>
    <row r="399" spans="1:6">
      <c r="A399" s="17" t="str">
        <f>DEC2HEX(INT(HEX2DEC(SUBSTITUTE('full nvm map'!$G$308,"0x",""))+HEX2DEC(E399)))&amp;"h"</f>
        <v>387h</v>
      </c>
      <c r="B399" s="14" t="s">
        <v>328</v>
      </c>
      <c r="C399" s="1" t="s">
        <v>798</v>
      </c>
      <c r="D399" s="1" t="s">
        <v>208</v>
      </c>
      <c r="E399" s="14" t="s">
        <v>1054</v>
      </c>
      <c r="F399"/>
    </row>
    <row r="400" spans="1:6">
      <c r="A400" s="17" t="str">
        <f>DEC2HEX(INT(HEX2DEC(SUBSTITUTE('full nvm map'!$G$308,"0x",""))+HEX2DEC(E400)))&amp;"h"</f>
        <v>388h</v>
      </c>
      <c r="B400" s="14" t="s">
        <v>328</v>
      </c>
      <c r="C400" s="1" t="s">
        <v>798</v>
      </c>
      <c r="D400" s="1" t="s">
        <v>208</v>
      </c>
      <c r="E400" s="14" t="s">
        <v>1055</v>
      </c>
      <c r="F400"/>
    </row>
    <row r="401" spans="1:6">
      <c r="A401" s="17" t="str">
        <f>DEC2HEX(INT(HEX2DEC(SUBSTITUTE('full nvm map'!$G$308,"0x",""))+HEX2DEC(E401)))&amp;"h"</f>
        <v>389h</v>
      </c>
      <c r="B401" s="14" t="s">
        <v>328</v>
      </c>
      <c r="C401" s="1" t="s">
        <v>798</v>
      </c>
      <c r="D401" s="1" t="s">
        <v>208</v>
      </c>
      <c r="E401" s="14" t="s">
        <v>1056</v>
      </c>
      <c r="F401"/>
    </row>
    <row r="402" spans="1:6">
      <c r="A402" s="17" t="str">
        <f>DEC2HEX(INT(HEX2DEC(SUBSTITUTE('full nvm map'!$G$308,"0x",""))+HEX2DEC(E402)))&amp;"h"</f>
        <v>38Ah</v>
      </c>
      <c r="B402" s="14" t="s">
        <v>328</v>
      </c>
      <c r="C402" s="1" t="s">
        <v>798</v>
      </c>
      <c r="D402" s="1" t="s">
        <v>208</v>
      </c>
      <c r="E402" s="14" t="s">
        <v>1265</v>
      </c>
      <c r="F402"/>
    </row>
    <row r="403" spans="1:6">
      <c r="A403" s="17" t="str">
        <f>DEC2HEX(INT(HEX2DEC(SUBSTITUTE('full nvm map'!$G$308,"0x",""))+HEX2DEC(E403)))&amp;"h"</f>
        <v>38Bh</v>
      </c>
      <c r="B403" s="14" t="s">
        <v>328</v>
      </c>
      <c r="C403" s="1" t="s">
        <v>798</v>
      </c>
      <c r="D403" s="1" t="s">
        <v>208</v>
      </c>
      <c r="E403" s="14" t="s">
        <v>1266</v>
      </c>
      <c r="F403"/>
    </row>
    <row r="404" spans="1:6">
      <c r="A404" s="17" t="str">
        <f>DEC2HEX(INT(HEX2DEC(SUBSTITUTE('full nvm map'!$G$308,"0x",""))+HEX2DEC(E404)))&amp;"h"</f>
        <v>38Ch</v>
      </c>
      <c r="B404" s="14" t="s">
        <v>328</v>
      </c>
      <c r="C404" s="1" t="s">
        <v>798</v>
      </c>
      <c r="D404" s="1" t="s">
        <v>208</v>
      </c>
      <c r="E404" s="14" t="s">
        <v>1267</v>
      </c>
      <c r="F404"/>
    </row>
    <row r="405" spans="1:6">
      <c r="A405" s="17" t="str">
        <f>DEC2HEX(INT(HEX2DEC(SUBSTITUTE('full nvm map'!$G$308,"0x",""))+HEX2DEC(E405)))&amp;"h"</f>
        <v>38Dh</v>
      </c>
      <c r="B405" s="14" t="s">
        <v>328</v>
      </c>
      <c r="C405" s="1" t="s">
        <v>798</v>
      </c>
      <c r="D405" s="1" t="s">
        <v>208</v>
      </c>
      <c r="E405" s="14" t="s">
        <v>1268</v>
      </c>
      <c r="F405"/>
    </row>
    <row r="406" spans="1:6">
      <c r="A406" s="17" t="str">
        <f>DEC2HEX(INT(HEX2DEC(SUBSTITUTE('full nvm map'!$G$308,"0x",""))+HEX2DEC(E406)))&amp;"h"</f>
        <v>38Eh</v>
      </c>
      <c r="B406" s="14" t="s">
        <v>328</v>
      </c>
      <c r="C406" s="1" t="s">
        <v>798</v>
      </c>
      <c r="D406" s="1" t="s">
        <v>208</v>
      </c>
      <c r="E406" s="14" t="s">
        <v>1269</v>
      </c>
      <c r="F406"/>
    </row>
    <row r="407" spans="1:6">
      <c r="A407" s="17" t="str">
        <f>DEC2HEX(INT(HEX2DEC(SUBSTITUTE('full nvm map'!$G$308,"0x",""))+HEX2DEC(E407)))&amp;"h"</f>
        <v>38Fh</v>
      </c>
      <c r="B407" s="14" t="s">
        <v>328</v>
      </c>
      <c r="C407" s="1" t="s">
        <v>798</v>
      </c>
      <c r="D407" s="1" t="s">
        <v>208</v>
      </c>
      <c r="E407" s="14" t="s">
        <v>1270</v>
      </c>
      <c r="F407"/>
    </row>
    <row r="408" spans="1:6">
      <c r="A408" s="17" t="str">
        <f>DEC2HEX(INT(HEX2DEC(SUBSTITUTE('full nvm map'!$G$308,"0x",""))+HEX2DEC(E408)))&amp;"h"</f>
        <v>390h</v>
      </c>
      <c r="B408" s="14" t="s">
        <v>328</v>
      </c>
      <c r="C408" s="1" t="s">
        <v>798</v>
      </c>
      <c r="D408" s="1" t="s">
        <v>208</v>
      </c>
      <c r="E408" s="14" t="s">
        <v>1057</v>
      </c>
      <c r="F408"/>
    </row>
    <row r="409" spans="1:6">
      <c r="A409" s="17" t="str">
        <f>DEC2HEX(INT(HEX2DEC(SUBSTITUTE('full nvm map'!$G$308,"0x",""))+HEX2DEC(E409)))&amp;"h"</f>
        <v>391h</v>
      </c>
      <c r="B409" s="14" t="s">
        <v>328</v>
      </c>
      <c r="C409" s="1" t="s">
        <v>798</v>
      </c>
      <c r="D409" s="1" t="s">
        <v>208</v>
      </c>
      <c r="E409" s="14" t="s">
        <v>1058</v>
      </c>
      <c r="F409"/>
    </row>
    <row r="410" spans="1:6">
      <c r="A410" s="17" t="str">
        <f>DEC2HEX(INT(HEX2DEC(SUBSTITUTE('full nvm map'!$G$308,"0x",""))+HEX2DEC(E410)))&amp;"h"</f>
        <v>392h</v>
      </c>
      <c r="B410" s="14" t="s">
        <v>328</v>
      </c>
      <c r="C410" s="1" t="s">
        <v>798</v>
      </c>
      <c r="D410" s="1" t="s">
        <v>208</v>
      </c>
      <c r="E410" s="14" t="s">
        <v>1059</v>
      </c>
      <c r="F410"/>
    </row>
    <row r="411" spans="1:6">
      <c r="A411" s="17" t="str">
        <f>DEC2HEX(INT(HEX2DEC(SUBSTITUTE('full nvm map'!$G$308,"0x",""))+HEX2DEC(E411)))&amp;"h"</f>
        <v>393h</v>
      </c>
      <c r="B411" s="14" t="s">
        <v>328</v>
      </c>
      <c r="C411" s="1" t="s">
        <v>798</v>
      </c>
      <c r="D411" s="1" t="s">
        <v>208</v>
      </c>
      <c r="E411" s="14" t="s">
        <v>1060</v>
      </c>
      <c r="F411"/>
    </row>
    <row r="412" spans="1:6">
      <c r="A412" s="17" t="str">
        <f>DEC2HEX(INT(HEX2DEC(SUBSTITUTE('full nvm map'!$G$308,"0x",""))+HEX2DEC(E412)))&amp;"h"</f>
        <v>394h</v>
      </c>
      <c r="B412" s="14" t="s">
        <v>328</v>
      </c>
      <c r="C412" s="1" t="s">
        <v>798</v>
      </c>
      <c r="D412" s="1" t="s">
        <v>208</v>
      </c>
      <c r="E412" s="14" t="s">
        <v>1061</v>
      </c>
      <c r="F412"/>
    </row>
    <row r="413" spans="1:6">
      <c r="A413" s="17" t="str">
        <f>DEC2HEX(INT(HEX2DEC(SUBSTITUTE('full nvm map'!$G$308,"0x",""))+HEX2DEC(E413)))&amp;"h"</f>
        <v>395h</v>
      </c>
      <c r="B413" s="14" t="s">
        <v>328</v>
      </c>
      <c r="C413" s="1" t="s">
        <v>798</v>
      </c>
      <c r="D413" s="1" t="s">
        <v>208</v>
      </c>
      <c r="E413" s="14" t="s">
        <v>1062</v>
      </c>
      <c r="F413"/>
    </row>
    <row r="414" spans="1:6">
      <c r="A414" s="17" t="str">
        <f>DEC2HEX(INT(HEX2DEC(SUBSTITUTE('full nvm map'!$G$308,"0x",""))+HEX2DEC(E414)))&amp;"h"</f>
        <v>396h</v>
      </c>
      <c r="B414" s="14" t="s">
        <v>328</v>
      </c>
      <c r="C414" s="1" t="s">
        <v>798</v>
      </c>
      <c r="D414" s="1" t="s">
        <v>208</v>
      </c>
      <c r="E414" s="14" t="s">
        <v>1063</v>
      </c>
      <c r="F414"/>
    </row>
    <row r="415" spans="1:6">
      <c r="A415" s="17" t="str">
        <f>DEC2HEX(INT(HEX2DEC(SUBSTITUTE('full nvm map'!$G$308,"0x",""))+HEX2DEC(E415)))&amp;"h"</f>
        <v>397h</v>
      </c>
      <c r="B415" s="14" t="s">
        <v>328</v>
      </c>
      <c r="C415" s="1" t="s">
        <v>798</v>
      </c>
      <c r="D415" s="1" t="s">
        <v>208</v>
      </c>
      <c r="E415" s="14" t="s">
        <v>1064</v>
      </c>
      <c r="F415"/>
    </row>
    <row r="416" spans="1:6">
      <c r="A416" s="17" t="str">
        <f>DEC2HEX(INT(HEX2DEC(SUBSTITUTE('full nvm map'!$G$308,"0x",""))+HEX2DEC(E416)))&amp;"h"</f>
        <v>398h</v>
      </c>
      <c r="B416" s="14" t="s">
        <v>328</v>
      </c>
      <c r="C416" s="1" t="s">
        <v>798</v>
      </c>
      <c r="D416" s="1" t="s">
        <v>208</v>
      </c>
      <c r="E416" s="14" t="s">
        <v>1065</v>
      </c>
      <c r="F416"/>
    </row>
    <row r="417" spans="1:6">
      <c r="A417" s="17" t="str">
        <f>DEC2HEX(INT(HEX2DEC(SUBSTITUTE('full nvm map'!$G$308,"0x",""))+HEX2DEC(E417)))&amp;"h"</f>
        <v>399h</v>
      </c>
      <c r="B417" s="14" t="s">
        <v>328</v>
      </c>
      <c r="C417" s="1" t="s">
        <v>798</v>
      </c>
      <c r="D417" s="1" t="s">
        <v>208</v>
      </c>
      <c r="E417" s="14" t="s">
        <v>1066</v>
      </c>
      <c r="F417"/>
    </row>
    <row r="418" spans="1:6">
      <c r="A418" s="17" t="str">
        <f>DEC2HEX(INT(HEX2DEC(SUBSTITUTE('full nvm map'!$G$308,"0x",""))+HEX2DEC(E418)))&amp;"h"</f>
        <v>39Ah</v>
      </c>
      <c r="B418" s="14" t="s">
        <v>328</v>
      </c>
      <c r="C418" s="1" t="s">
        <v>798</v>
      </c>
      <c r="D418" s="1" t="s">
        <v>208</v>
      </c>
      <c r="E418" s="14" t="s">
        <v>1271</v>
      </c>
      <c r="F418"/>
    </row>
    <row r="419" spans="1:6">
      <c r="A419" s="17" t="str">
        <f>DEC2HEX(INT(HEX2DEC(SUBSTITUTE('full nvm map'!$G$308,"0x",""))+HEX2DEC(E419)))&amp;"h"</f>
        <v>39Bh</v>
      </c>
      <c r="B419" s="14" t="s">
        <v>328</v>
      </c>
      <c r="C419" s="1" t="s">
        <v>798</v>
      </c>
      <c r="D419" s="1" t="s">
        <v>208</v>
      </c>
      <c r="E419" s="14" t="s">
        <v>1272</v>
      </c>
      <c r="F419"/>
    </row>
    <row r="420" spans="1:6">
      <c r="A420" s="17" t="str">
        <f>DEC2HEX(INT(HEX2DEC(SUBSTITUTE('full nvm map'!$G$308,"0x",""))+HEX2DEC(E420)))&amp;"h"</f>
        <v>39Ch</v>
      </c>
      <c r="B420" s="14" t="s">
        <v>328</v>
      </c>
      <c r="C420" s="1" t="s">
        <v>798</v>
      </c>
      <c r="D420" s="1" t="s">
        <v>208</v>
      </c>
      <c r="E420" s="14" t="s">
        <v>1273</v>
      </c>
      <c r="F420"/>
    </row>
    <row r="421" spans="1:6">
      <c r="A421" s="17" t="str">
        <f>DEC2HEX(INT(HEX2DEC(SUBSTITUTE('full nvm map'!$G$308,"0x",""))+HEX2DEC(E421)))&amp;"h"</f>
        <v>39Dh</v>
      </c>
      <c r="B421" s="14" t="s">
        <v>328</v>
      </c>
      <c r="C421" s="1" t="s">
        <v>798</v>
      </c>
      <c r="D421" s="1" t="s">
        <v>208</v>
      </c>
      <c r="E421" s="14" t="s">
        <v>1274</v>
      </c>
      <c r="F421"/>
    </row>
    <row r="422" spans="1:6">
      <c r="A422" s="17" t="str">
        <f>DEC2HEX(INT(HEX2DEC(SUBSTITUTE('full nvm map'!$G$308,"0x",""))+HEX2DEC(E422)))&amp;"h"</f>
        <v>39Eh</v>
      </c>
      <c r="B422" s="14" t="s">
        <v>328</v>
      </c>
      <c r="C422" s="1" t="s">
        <v>798</v>
      </c>
      <c r="D422" s="1" t="s">
        <v>208</v>
      </c>
      <c r="E422" s="14" t="s">
        <v>1275</v>
      </c>
      <c r="F422"/>
    </row>
    <row r="423" spans="1:6">
      <c r="A423" s="17" t="str">
        <f>DEC2HEX(INT(HEX2DEC(SUBSTITUTE('full nvm map'!$G$308,"0x",""))+HEX2DEC(E423)))&amp;"h"</f>
        <v>39Fh</v>
      </c>
      <c r="B423" s="14" t="s">
        <v>328</v>
      </c>
      <c r="C423" s="1" t="s">
        <v>798</v>
      </c>
      <c r="D423" s="1" t="s">
        <v>208</v>
      </c>
      <c r="E423" s="14" t="s">
        <v>1276</v>
      </c>
      <c r="F423"/>
    </row>
    <row r="424" spans="1:6">
      <c r="A424" s="17" t="str">
        <f>DEC2HEX(INT(HEX2DEC(SUBSTITUTE('full nvm map'!$G$308,"0x",""))+HEX2DEC(E424)))&amp;"h"</f>
        <v>3A0h</v>
      </c>
      <c r="B424" s="14" t="s">
        <v>328</v>
      </c>
      <c r="C424" s="1" t="s">
        <v>798</v>
      </c>
      <c r="D424" s="1" t="s">
        <v>208</v>
      </c>
      <c r="E424" s="14" t="s">
        <v>1277</v>
      </c>
      <c r="F424"/>
    </row>
    <row r="425" spans="1:6">
      <c r="A425" s="17" t="str">
        <f>DEC2HEX(INT(HEX2DEC(SUBSTITUTE('full nvm map'!$G$308,"0x",""))+HEX2DEC(E425)))&amp;"h"</f>
        <v>3A1h</v>
      </c>
      <c r="B425" s="14" t="s">
        <v>328</v>
      </c>
      <c r="C425" s="1" t="s">
        <v>798</v>
      </c>
      <c r="D425" s="1" t="s">
        <v>208</v>
      </c>
      <c r="E425" s="14" t="s">
        <v>1278</v>
      </c>
      <c r="F425"/>
    </row>
    <row r="426" spans="1:6">
      <c r="A426" s="17" t="str">
        <f>DEC2HEX(INT(HEX2DEC(SUBSTITUTE('full nvm map'!$G$308,"0x",""))+HEX2DEC(E426)))&amp;"h"</f>
        <v>3A2h</v>
      </c>
      <c r="B426" s="14" t="s">
        <v>328</v>
      </c>
      <c r="C426" s="1" t="s">
        <v>798</v>
      </c>
      <c r="D426" s="1" t="s">
        <v>208</v>
      </c>
      <c r="E426" s="14" t="s">
        <v>1279</v>
      </c>
      <c r="F426"/>
    </row>
    <row r="427" spans="1:6">
      <c r="A427" s="17" t="str">
        <f>DEC2HEX(INT(HEX2DEC(SUBSTITUTE('full nvm map'!$G$308,"0x",""))+HEX2DEC(E427)))&amp;"h"</f>
        <v>3A3h</v>
      </c>
      <c r="B427" s="14" t="s">
        <v>328</v>
      </c>
      <c r="C427" s="1" t="s">
        <v>798</v>
      </c>
      <c r="D427" s="1" t="s">
        <v>208</v>
      </c>
      <c r="E427" s="14" t="s">
        <v>1280</v>
      </c>
      <c r="F427"/>
    </row>
    <row r="428" spans="1:6">
      <c r="A428" s="17" t="str">
        <f>DEC2HEX(INT(HEX2DEC(SUBSTITUTE('full nvm map'!$G$308,"0x",""))+HEX2DEC(E428)))&amp;"h"</f>
        <v>3A4h</v>
      </c>
      <c r="B428" s="14" t="s">
        <v>328</v>
      </c>
      <c r="C428" s="1" t="s">
        <v>798</v>
      </c>
      <c r="D428" s="1" t="s">
        <v>208</v>
      </c>
      <c r="E428" s="14" t="s">
        <v>1281</v>
      </c>
      <c r="F428"/>
    </row>
    <row r="429" spans="1:6">
      <c r="A429" s="17" t="str">
        <f>DEC2HEX(INT(HEX2DEC(SUBSTITUTE('full nvm map'!$G$308,"0x",""))+HEX2DEC(E429)))&amp;"h"</f>
        <v>3A5h</v>
      </c>
      <c r="B429" s="14" t="s">
        <v>328</v>
      </c>
      <c r="C429" s="1" t="s">
        <v>798</v>
      </c>
      <c r="D429" s="1" t="s">
        <v>208</v>
      </c>
      <c r="E429" s="14" t="s">
        <v>1282</v>
      </c>
      <c r="F429"/>
    </row>
    <row r="430" spans="1:6">
      <c r="A430" s="17" t="str">
        <f>DEC2HEX(INT(HEX2DEC(SUBSTITUTE('full nvm map'!$G$308,"0x",""))+HEX2DEC(E430)))&amp;"h"</f>
        <v>3A6h</v>
      </c>
      <c r="B430" s="14" t="s">
        <v>328</v>
      </c>
      <c r="C430" s="1" t="s">
        <v>798</v>
      </c>
      <c r="D430" s="1" t="s">
        <v>208</v>
      </c>
      <c r="E430" s="14" t="s">
        <v>1283</v>
      </c>
      <c r="F430"/>
    </row>
    <row r="431" spans="1:6">
      <c r="A431" s="17" t="str">
        <f>DEC2HEX(INT(HEX2DEC(SUBSTITUTE('full nvm map'!$G$308,"0x",""))+HEX2DEC(E431)))&amp;"h"</f>
        <v>3A7h</v>
      </c>
      <c r="B431" s="14" t="s">
        <v>328</v>
      </c>
      <c r="C431" s="1" t="s">
        <v>798</v>
      </c>
      <c r="D431" s="1" t="s">
        <v>208</v>
      </c>
      <c r="E431" s="14" t="s">
        <v>1284</v>
      </c>
      <c r="F431"/>
    </row>
    <row r="432" spans="1:6">
      <c r="A432" s="17" t="str">
        <f>DEC2HEX(INT(HEX2DEC(SUBSTITUTE('full nvm map'!$G$308,"0x",""))+HEX2DEC(E432)))&amp;"h"</f>
        <v>3A8h</v>
      </c>
      <c r="B432" s="14" t="s">
        <v>328</v>
      </c>
      <c r="C432" s="1" t="s">
        <v>798</v>
      </c>
      <c r="D432" s="1" t="s">
        <v>208</v>
      </c>
      <c r="E432" s="14" t="s">
        <v>1285</v>
      </c>
      <c r="F432"/>
    </row>
    <row r="433" spans="1:6">
      <c r="A433" s="17" t="str">
        <f>DEC2HEX(INT(HEX2DEC(SUBSTITUTE('full nvm map'!$G$308,"0x",""))+HEX2DEC(E433)))&amp;"h"</f>
        <v>3A9h</v>
      </c>
      <c r="B433" s="14" t="s">
        <v>328</v>
      </c>
      <c r="C433" s="1" t="s">
        <v>798</v>
      </c>
      <c r="D433" s="1" t="s">
        <v>208</v>
      </c>
      <c r="E433" s="14" t="s">
        <v>1286</v>
      </c>
      <c r="F433"/>
    </row>
    <row r="434" spans="1:6">
      <c r="A434" s="17" t="str">
        <f>DEC2HEX(INT(HEX2DEC(SUBSTITUTE('full nvm map'!$G$308,"0x",""))+HEX2DEC(E434)))&amp;"h"</f>
        <v>3AAh</v>
      </c>
      <c r="B434" s="14" t="s">
        <v>328</v>
      </c>
      <c r="C434" s="1" t="s">
        <v>798</v>
      </c>
      <c r="D434" s="1" t="s">
        <v>208</v>
      </c>
      <c r="E434" s="14" t="s">
        <v>1287</v>
      </c>
      <c r="F434"/>
    </row>
    <row r="435" spans="1:6">
      <c r="A435" s="17" t="str">
        <f>DEC2HEX(INT(HEX2DEC(SUBSTITUTE('full nvm map'!$G$308,"0x",""))+HEX2DEC(E435)))&amp;"h"</f>
        <v>3ABh</v>
      </c>
      <c r="B435" s="14" t="s">
        <v>328</v>
      </c>
      <c r="C435" s="1" t="s">
        <v>798</v>
      </c>
      <c r="D435" s="1" t="s">
        <v>208</v>
      </c>
      <c r="E435" s="14" t="s">
        <v>1288</v>
      </c>
      <c r="F435"/>
    </row>
    <row r="436" spans="1:6">
      <c r="A436" s="17" t="str">
        <f>DEC2HEX(INT(HEX2DEC(SUBSTITUTE('full nvm map'!$G$308,"0x",""))+HEX2DEC(E436)))&amp;"h"</f>
        <v>3ACh</v>
      </c>
      <c r="B436" s="14" t="s">
        <v>328</v>
      </c>
      <c r="C436" s="1" t="s">
        <v>798</v>
      </c>
      <c r="D436" s="1" t="s">
        <v>208</v>
      </c>
      <c r="E436" s="14" t="s">
        <v>1289</v>
      </c>
      <c r="F436"/>
    </row>
    <row r="437" spans="1:6">
      <c r="A437" s="17" t="str">
        <f>DEC2HEX(INT(HEX2DEC(SUBSTITUTE('full nvm map'!$G$308,"0x",""))+HEX2DEC(E437)))&amp;"h"</f>
        <v>3ADh</v>
      </c>
      <c r="B437" s="14" t="s">
        <v>328</v>
      </c>
      <c r="C437" s="1" t="s">
        <v>798</v>
      </c>
      <c r="D437" s="1" t="s">
        <v>208</v>
      </c>
      <c r="E437" s="14" t="s">
        <v>1290</v>
      </c>
      <c r="F437"/>
    </row>
    <row r="438" spans="1:6">
      <c r="A438" s="17" t="str">
        <f>DEC2HEX(INT(HEX2DEC(SUBSTITUTE('full nvm map'!$G$308,"0x",""))+HEX2DEC(E438)))&amp;"h"</f>
        <v>3AEh</v>
      </c>
      <c r="B438" s="14" t="s">
        <v>328</v>
      </c>
      <c r="C438" s="1" t="s">
        <v>798</v>
      </c>
      <c r="D438" s="1" t="s">
        <v>208</v>
      </c>
      <c r="E438" s="14" t="s">
        <v>1291</v>
      </c>
      <c r="F438"/>
    </row>
    <row r="439" spans="1:6">
      <c r="A439" s="17" t="str">
        <f>DEC2HEX(INT(HEX2DEC(SUBSTITUTE('full nvm map'!$G$308,"0x",""))+HEX2DEC(E439)))&amp;"h"</f>
        <v>3AFh</v>
      </c>
      <c r="B439" s="14" t="s">
        <v>328</v>
      </c>
      <c r="C439" s="1" t="s">
        <v>798</v>
      </c>
      <c r="D439" s="1" t="s">
        <v>208</v>
      </c>
      <c r="E439" s="14" t="s">
        <v>1292</v>
      </c>
      <c r="F439"/>
    </row>
    <row r="440" spans="1:6">
      <c r="A440" s="17" t="str">
        <f>DEC2HEX(INT(HEX2DEC(SUBSTITUTE('full nvm map'!$G$308,"0x",""))+HEX2DEC(E440)))&amp;"h"</f>
        <v>3B0h</v>
      </c>
      <c r="B440" s="14" t="s">
        <v>328</v>
      </c>
      <c r="C440" s="1" t="s">
        <v>798</v>
      </c>
      <c r="D440" s="1" t="s">
        <v>208</v>
      </c>
      <c r="E440" s="14" t="s">
        <v>1293</v>
      </c>
      <c r="F440"/>
    </row>
    <row r="441" spans="1:6">
      <c r="A441" s="17" t="str">
        <f>DEC2HEX(INT(HEX2DEC(SUBSTITUTE('full nvm map'!$G$308,"0x",""))+HEX2DEC(E441)))&amp;"h"</f>
        <v>3B1h</v>
      </c>
      <c r="B441" s="14" t="s">
        <v>328</v>
      </c>
      <c r="C441" s="1" t="s">
        <v>798</v>
      </c>
      <c r="D441" s="1" t="s">
        <v>208</v>
      </c>
      <c r="E441" s="14" t="s">
        <v>1294</v>
      </c>
      <c r="F441"/>
    </row>
    <row r="442" spans="1:6">
      <c r="A442" s="17" t="str">
        <f>DEC2HEX(INT(HEX2DEC(SUBSTITUTE('full nvm map'!$G$308,"0x",""))+HEX2DEC(E442)))&amp;"h"</f>
        <v>3B2h</v>
      </c>
      <c r="B442" s="14" t="s">
        <v>328</v>
      </c>
      <c r="C442" s="1" t="s">
        <v>798</v>
      </c>
      <c r="D442" s="1" t="s">
        <v>208</v>
      </c>
      <c r="E442" s="14" t="s">
        <v>1295</v>
      </c>
      <c r="F442"/>
    </row>
    <row r="443" spans="1:6">
      <c r="A443" s="17" t="str">
        <f>DEC2HEX(INT(HEX2DEC(SUBSTITUTE('full nvm map'!$G$308,"0x",""))+HEX2DEC(E443)))&amp;"h"</f>
        <v>3B3h</v>
      </c>
      <c r="B443" s="14" t="s">
        <v>328</v>
      </c>
      <c r="C443" s="1" t="s">
        <v>798</v>
      </c>
      <c r="D443" s="1" t="s">
        <v>208</v>
      </c>
      <c r="E443" s="14" t="s">
        <v>1296</v>
      </c>
      <c r="F443"/>
    </row>
    <row r="444" spans="1:6">
      <c r="A444" s="17" t="str">
        <f>DEC2HEX(INT(HEX2DEC(SUBSTITUTE('full nvm map'!$G$308,"0x",""))+HEX2DEC(E444)))&amp;"h"</f>
        <v>3B4h</v>
      </c>
      <c r="B444" s="14" t="s">
        <v>328</v>
      </c>
      <c r="C444" s="1" t="s">
        <v>798</v>
      </c>
      <c r="D444" s="1" t="s">
        <v>208</v>
      </c>
      <c r="E444" s="14" t="s">
        <v>1297</v>
      </c>
      <c r="F444"/>
    </row>
    <row r="445" spans="1:6">
      <c r="A445" s="17" t="str">
        <f>DEC2HEX(INT(HEX2DEC(SUBSTITUTE('full nvm map'!$G$308,"0x",""))+HEX2DEC(E445)))&amp;"h"</f>
        <v>3B5h</v>
      </c>
      <c r="B445" s="14" t="s">
        <v>328</v>
      </c>
      <c r="C445" s="1" t="s">
        <v>798</v>
      </c>
      <c r="D445" s="1" t="s">
        <v>208</v>
      </c>
      <c r="E445" s="14" t="s">
        <v>1298</v>
      </c>
      <c r="F445"/>
    </row>
    <row r="446" spans="1:6">
      <c r="A446" s="17" t="str">
        <f>DEC2HEX(INT(HEX2DEC(SUBSTITUTE('full nvm map'!$G$308,"0x",""))+HEX2DEC(E446)))&amp;"h"</f>
        <v>3B6h</v>
      </c>
      <c r="B446" s="14" t="s">
        <v>328</v>
      </c>
      <c r="C446" s="1" t="s">
        <v>798</v>
      </c>
      <c r="D446" s="1" t="s">
        <v>208</v>
      </c>
      <c r="E446" s="14" t="s">
        <v>1299</v>
      </c>
      <c r="F446"/>
    </row>
    <row r="447" spans="1:6">
      <c r="A447" s="17" t="str">
        <f>DEC2HEX(INT(HEX2DEC(SUBSTITUTE('full nvm map'!$G$308,"0x",""))+HEX2DEC(E447)))&amp;"h"</f>
        <v>3B7h</v>
      </c>
      <c r="B447" s="14" t="s">
        <v>328</v>
      </c>
      <c r="C447" s="1" t="s">
        <v>798</v>
      </c>
      <c r="D447" s="1" t="s">
        <v>208</v>
      </c>
      <c r="E447" s="14" t="s">
        <v>1300</v>
      </c>
      <c r="F447"/>
    </row>
    <row r="448" spans="1:6">
      <c r="A448" s="17" t="str">
        <f>DEC2HEX(INT(HEX2DEC(SUBSTITUTE('full nvm map'!$G$308,"0x",""))+HEX2DEC(E448)))&amp;"h"</f>
        <v>3B8h</v>
      </c>
      <c r="B448" s="14" t="s">
        <v>328</v>
      </c>
      <c r="C448" s="1" t="s">
        <v>798</v>
      </c>
      <c r="D448" s="1" t="s">
        <v>208</v>
      </c>
      <c r="E448" s="14" t="s">
        <v>1301</v>
      </c>
      <c r="F448"/>
    </row>
    <row r="449" spans="1:6">
      <c r="A449" s="17" t="str">
        <f>DEC2HEX(INT(HEX2DEC(SUBSTITUTE('full nvm map'!$G$308,"0x",""))+HEX2DEC(E449)))&amp;"h"</f>
        <v>3B9h</v>
      </c>
      <c r="B449" s="14" t="s">
        <v>328</v>
      </c>
      <c r="C449" s="1" t="s">
        <v>798</v>
      </c>
      <c r="D449" s="1" t="s">
        <v>208</v>
      </c>
      <c r="E449" s="14" t="s">
        <v>1302</v>
      </c>
      <c r="F449"/>
    </row>
    <row r="450" spans="1:6">
      <c r="A450" s="17" t="str">
        <f>DEC2HEX(INT(HEX2DEC(SUBSTITUTE('full nvm map'!$G$308,"0x",""))+HEX2DEC(E450)))&amp;"h"</f>
        <v>3BAh</v>
      </c>
      <c r="B450" s="14" t="s">
        <v>328</v>
      </c>
      <c r="C450" s="1" t="s">
        <v>798</v>
      </c>
      <c r="D450" s="1" t="s">
        <v>208</v>
      </c>
      <c r="E450" s="14" t="s">
        <v>1303</v>
      </c>
      <c r="F450"/>
    </row>
    <row r="451" spans="1:6">
      <c r="A451" s="17" t="str">
        <f>DEC2HEX(INT(HEX2DEC(SUBSTITUTE('full nvm map'!$G$308,"0x",""))+HEX2DEC(E451)))&amp;"h"</f>
        <v>3BBh</v>
      </c>
      <c r="B451" s="14" t="s">
        <v>328</v>
      </c>
      <c r="C451" s="1" t="s">
        <v>798</v>
      </c>
      <c r="D451" s="1" t="s">
        <v>208</v>
      </c>
      <c r="E451" s="14" t="s">
        <v>1304</v>
      </c>
      <c r="F451"/>
    </row>
    <row r="452" spans="1:6">
      <c r="A452" s="17" t="str">
        <f>DEC2HEX(INT(HEX2DEC(SUBSTITUTE('full nvm map'!$G$308,"0x",""))+HEX2DEC(E452)))&amp;"h"</f>
        <v>3BCh</v>
      </c>
      <c r="B452" s="14" t="s">
        <v>328</v>
      </c>
      <c r="C452" s="1" t="s">
        <v>798</v>
      </c>
      <c r="D452" s="1" t="s">
        <v>208</v>
      </c>
      <c r="E452" s="14" t="s">
        <v>1305</v>
      </c>
      <c r="F452"/>
    </row>
    <row r="453" spans="1:6">
      <c r="A453" s="17" t="str">
        <f>DEC2HEX(INT(HEX2DEC(SUBSTITUTE('full nvm map'!$G$308,"0x",""))+HEX2DEC(E453)))&amp;"h"</f>
        <v>3BDh</v>
      </c>
      <c r="B453" s="14" t="s">
        <v>328</v>
      </c>
      <c r="C453" s="1" t="s">
        <v>798</v>
      </c>
      <c r="D453" s="1" t="s">
        <v>208</v>
      </c>
      <c r="E453" s="14" t="s">
        <v>1306</v>
      </c>
      <c r="F453"/>
    </row>
    <row r="454" spans="1:6">
      <c r="A454" s="17" t="str">
        <f>DEC2HEX(INT(HEX2DEC(SUBSTITUTE('full nvm map'!$G$308,"0x",""))+HEX2DEC(E454)))&amp;"h"</f>
        <v>3BEh</v>
      </c>
      <c r="B454" s="14" t="s">
        <v>328</v>
      </c>
      <c r="C454" s="1" t="s">
        <v>798</v>
      </c>
      <c r="D454" s="1" t="s">
        <v>208</v>
      </c>
      <c r="E454" s="14" t="s">
        <v>1307</v>
      </c>
      <c r="F454"/>
    </row>
    <row r="455" spans="1:6">
      <c r="A455" s="17" t="str">
        <f>DEC2HEX(INT(HEX2DEC(SUBSTITUTE('full nvm map'!$G$308,"0x",""))+HEX2DEC(E455)))&amp;"h"</f>
        <v>3BFh</v>
      </c>
      <c r="B455" s="14" t="s">
        <v>328</v>
      </c>
      <c r="C455" s="1" t="s">
        <v>798</v>
      </c>
      <c r="D455" s="1" t="s">
        <v>208</v>
      </c>
      <c r="E455" s="14" t="s">
        <v>1308</v>
      </c>
      <c r="F455"/>
    </row>
    <row r="456" spans="1:6">
      <c r="A456" s="17" t="str">
        <f>DEC2HEX(INT(HEX2DEC(SUBSTITUTE('full nvm map'!$G$308,"0x",""))+HEX2DEC(E456)))&amp;"h"</f>
        <v>3C0h</v>
      </c>
      <c r="B456" s="14" t="s">
        <v>328</v>
      </c>
      <c r="C456" s="1" t="s">
        <v>798</v>
      </c>
      <c r="D456" s="1" t="s">
        <v>208</v>
      </c>
      <c r="E456" s="14" t="s">
        <v>1309</v>
      </c>
      <c r="F456"/>
    </row>
    <row r="457" spans="1:6">
      <c r="A457" s="17" t="str">
        <f>DEC2HEX(INT(HEX2DEC(SUBSTITUTE('full nvm map'!$G$308,"0x",""))+HEX2DEC(E457)))&amp;"h"</f>
        <v>3C1h</v>
      </c>
      <c r="B457" s="14" t="s">
        <v>328</v>
      </c>
      <c r="C457" s="1" t="s">
        <v>798</v>
      </c>
      <c r="D457" s="1" t="s">
        <v>208</v>
      </c>
      <c r="E457" s="14" t="s">
        <v>1310</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9" sqref="B9"/>
    </sheetView>
  </sheetViews>
  <sheetFormatPr defaultRowHeight="14.4"/>
  <cols>
    <col min="1" max="1" width="15.44140625" bestFit="1" customWidth="1"/>
    <col min="2" max="2" width="98.6640625" customWidth="1"/>
  </cols>
  <sheetData>
    <row r="2" spans="1:2">
      <c r="A2" s="12" t="s">
        <v>1324</v>
      </c>
      <c r="B2" s="16" t="s">
        <v>1326</v>
      </c>
    </row>
    <row r="3" spans="1:2">
      <c r="A3" t="s">
        <v>1327</v>
      </c>
      <c r="B3" t="s">
        <v>1404</v>
      </c>
    </row>
    <row r="4" spans="1:2">
      <c r="A4" t="s">
        <v>1328</v>
      </c>
      <c r="B4" t="s">
        <v>1329</v>
      </c>
    </row>
    <row r="5" spans="1:2">
      <c r="A5" t="s">
        <v>1325</v>
      </c>
      <c r="B5" t="s">
        <v>1405</v>
      </c>
    </row>
    <row r="6" spans="1:2">
      <c r="A6" t="s">
        <v>1330</v>
      </c>
      <c r="B6" t="s">
        <v>33</v>
      </c>
    </row>
    <row r="7" spans="1:2">
      <c r="A7" t="s">
        <v>1332</v>
      </c>
      <c r="B7">
        <v>2</v>
      </c>
    </row>
    <row r="8" spans="1:2">
      <c r="A8" t="s">
        <v>1333</v>
      </c>
      <c r="B8" t="s">
        <v>1402</v>
      </c>
    </row>
    <row r="9" spans="1:2">
      <c r="A9" t="s">
        <v>1334</v>
      </c>
      <c r="B9" t="s">
        <v>1403</v>
      </c>
    </row>
    <row r="10" spans="1:2">
      <c r="A10" t="s">
        <v>1336</v>
      </c>
      <c r="B10" t="b">
        <v>0</v>
      </c>
    </row>
    <row r="11" spans="1:2">
      <c r="A11" t="s">
        <v>1338</v>
      </c>
      <c r="B11" t="b">
        <v>1</v>
      </c>
    </row>
    <row r="12" spans="1:2">
      <c r="A12" t="s">
        <v>1337</v>
      </c>
      <c r="B12" t="b">
        <v>0</v>
      </c>
    </row>
    <row r="14" spans="1:2" ht="43.2">
      <c r="A14" t="s">
        <v>1335</v>
      </c>
      <c r="B14" s="28" t="s">
        <v>1331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Raikwar, Vaibhav</cp:lastModifiedBy>
  <dcterms:created xsi:type="dcterms:W3CDTF">2014-01-14T08:56:50Z</dcterms:created>
  <dcterms:modified xsi:type="dcterms:W3CDTF">2019-07-30T08:13:36Z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7b2bdce3-4e96-4346-b539-9fa087075b53</vt:lpwstr>
  </property>
  <property fmtid="{D5CDD505-2E9C-101B-9397-08002B2CF9AE}" pid="3" name="CTP_TimeStamp">
    <vt:lpwstr>2019-07-30 08:13:35Z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